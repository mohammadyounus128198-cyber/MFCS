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 Path Map Registry" sheetId="1" state="visible" r:id="rId1"/>
    <sheet xmlns:r="http://schemas.openxmlformats.org/officeDocument/2006/relationships" name="Artifact Metrics" sheetId="2" state="visible" r:id="rId2"/>
    <sheet xmlns:r="http://schemas.openxmlformats.org/officeDocument/2006/relationships" name="Map-Level Metrics" sheetId="3" state="visible" r:id="rId3"/>
    <sheet xmlns:r="http://schemas.openxmlformats.org/officeDocument/2006/relationships" name="Domain Coverage" sheetId="4" state="visible" r:id="rId4"/>
    <sheet xmlns:r="http://schemas.openxmlformats.org/officeDocument/2006/relationships" name="Source Bibliography" sheetId="5" state="visible" r:id="rId5"/>
    <sheet xmlns:r="http://schemas.openxmlformats.org/officeDocument/2006/relationships" name="Chang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YYYY-MM-DD"/>
  </numFmts>
  <fonts count="18">
    <font>
      <name val="Calibri"/>
      <family val="2"/>
      <color theme="1"/>
      <sz val="11"/>
      <scheme val="minor"/>
    </font>
    <font>
      <b val="1"/>
      <color rgb="001B2A4A"/>
      <sz val="16"/>
    </font>
    <font>
      <i val="1"/>
      <color rgb="00555555"/>
      <sz val="10"/>
    </font>
    <font>
      <b val="1"/>
      <color rgb="00FFFFFF"/>
    </font>
    <font>
      <color rgb="00006100"/>
    </font>
    <font>
      <color rgb="009C5700"/>
    </font>
    <font>
      <color rgb="009C0006"/>
    </font>
    <font>
      <color rgb="001F3864"/>
    </font>
    <font>
      <color rgb="00666666"/>
    </font>
    <font>
      <b val="1"/>
      <color rgb="001B2A4A"/>
      <sz val="14"/>
    </font>
    <font>
      <b val="1"/>
      <color rgb="001B2A4A"/>
    </font>
    <font>
      <b val="1"/>
    </font>
    <font>
      <b val="1"/>
      <color rgb="00006100"/>
    </font>
    <font>
      <b val="1"/>
      <color rgb="009C5700"/>
    </font>
    <font>
      <b val="1"/>
      <color rgb="009C0006"/>
    </font>
    <font>
      <b val="1"/>
      <color rgb="001F3864"/>
    </font>
    <font>
      <name val="Calibri"/>
      <family val="2"/>
      <color theme="10"/>
      <sz val="12"/>
      <scheme val="minor"/>
    </font>
    <font>
      <i val="1"/>
      <color rgb="00888888"/>
      <sz val="9"/>
    </font>
  </fonts>
  <fills count="1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7FB"/>
        <bgColor rgb="00F2F7FB"/>
      </patternFill>
    </fill>
    <fill>
      <patternFill patternType="solid">
        <fgColor rgb="00E8D5F5"/>
        <bgColor rgb="00E8D5F5"/>
      </patternFill>
    </fill>
    <fill>
      <patternFill patternType="solid">
        <fgColor rgb="00D5E8F5"/>
        <bgColor rgb="00D5E8F5"/>
      </patternFill>
    </fill>
    <fill>
      <patternFill patternType="solid">
        <fgColor rgb="00D5F5E0"/>
        <bgColor rgb="00D5F5E0"/>
      </patternFill>
    </fill>
    <fill>
      <patternFill patternType="solid">
        <fgColor rgb="00FFF2CC"/>
        <bgColor rgb="00FFF2CC"/>
      </patternFill>
    </fill>
    <fill>
      <patternFill patternType="solid">
        <fgColor rgb="00FFE0CC"/>
        <bgColor rgb="00FFE0CC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/>
      <right/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</borders>
  <cellStyleXfs count="2">
    <xf numFmtId="0" fontId="0" fillId="0" borderId="0"/>
    <xf numFmtId="0" fontId="16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5" applyAlignment="1" pivotButton="0" quotePrefix="0" xfId="0">
      <alignment horizontal="center" wrapText="1"/>
    </xf>
    <xf numFmtId="0" fontId="0" fillId="3" borderId="6" pivotButton="0" quotePrefix="0" xfId="0"/>
    <xf numFmtId="0" fontId="0" fillId="3" borderId="2" pivotButton="0" quotePrefix="0" xfId="0"/>
    <xf numFmtId="0" fontId="0" fillId="4" borderId="2" pivotButton="0" quotePrefix="0" xfId="0"/>
    <xf numFmtId="0" fontId="4" fillId="10" borderId="2" pivotButton="0" quotePrefix="0" xfId="0"/>
    <xf numFmtId="9" fontId="0" fillId="3" borderId="2" pivotButton="0" quotePrefix="0" xfId="0"/>
    <xf numFmtId="0" fontId="0" fillId="3" borderId="7" pivotButton="0" quotePrefix="0" xfId="0"/>
    <xf numFmtId="0" fontId="0" fillId="0" borderId="6" pivotButton="0" quotePrefix="0" xfId="0"/>
    <xf numFmtId="0" fontId="0" fillId="0" borderId="2" pivotButton="0" quotePrefix="0" xfId="0"/>
    <xf numFmtId="9" fontId="0" fillId="0" borderId="2" pivotButton="0" quotePrefix="0" xfId="0"/>
    <xf numFmtId="0" fontId="0" fillId="0" borderId="7" pivotButton="0" quotePrefix="0" xfId="0"/>
    <xf numFmtId="0" fontId="0" fillId="5" borderId="2" pivotButton="0" quotePrefix="0" xfId="0"/>
    <xf numFmtId="0" fontId="0" fillId="6" borderId="2" pivotButton="0" quotePrefix="0" xfId="0"/>
    <xf numFmtId="0" fontId="5" fillId="11" borderId="2" pivotButton="0" quotePrefix="0" xfId="0"/>
    <xf numFmtId="0" fontId="6" fillId="12" borderId="2" pivotButton="0" quotePrefix="0" xfId="0"/>
    <xf numFmtId="0" fontId="0" fillId="7" borderId="2" pivotButton="0" quotePrefix="0" xfId="0"/>
    <xf numFmtId="0" fontId="7" fillId="13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8" fillId="9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9" borderId="9" pivotButton="0" quotePrefix="0" xfId="0"/>
    <xf numFmtId="0" fontId="8" fillId="9" borderId="9" pivotButton="0" quotePrefix="0" xfId="0"/>
    <xf numFmtId="9" fontId="0" fillId="0" borderId="9" pivotButton="0" quotePrefix="0" xfId="0"/>
    <xf numFmtId="0" fontId="0" fillId="0" borderId="10" pivotButton="0" quotePrefix="0" xfId="0"/>
    <xf numFmtId="0" fontId="9" fillId="0" borderId="0" applyAlignment="1" pivotButton="0" quotePrefix="0" xfId="0">
      <alignment horizontal="center"/>
    </xf>
    <xf numFmtId="164" fontId="0" fillId="3" borderId="2" pivotButton="0" quotePrefix="0" xfId="0"/>
    <xf numFmtId="0" fontId="4" fillId="3" borderId="2" pivotButton="0" quotePrefix="0" xfId="0"/>
    <xf numFmtId="164" fontId="0" fillId="0" borderId="2" pivotButton="0" quotePrefix="0" xfId="0"/>
    <xf numFmtId="0" fontId="5" fillId="3" borderId="2" pivotButton="0" quotePrefix="0" xfId="0"/>
    <xf numFmtId="0" fontId="0" fillId="3" borderId="8" pivotButton="0" quotePrefix="0" xfId="0"/>
    <xf numFmtId="0" fontId="0" fillId="3" borderId="9" pivotButton="0" quotePrefix="0" xfId="0"/>
    <xf numFmtId="9" fontId="0" fillId="3" borderId="9" pivotButton="0" quotePrefix="0" xfId="0"/>
    <xf numFmtId="0" fontId="6" fillId="3" borderId="9" pivotButton="0" quotePrefix="0" xfId="0"/>
    <xf numFmtId="0" fontId="5" fillId="3" borderId="9" pivotButton="0" quotePrefix="0" xfId="0"/>
    <xf numFmtId="0" fontId="0" fillId="3" borderId="10" pivotButton="0" quotePrefix="0" xfId="0"/>
    <xf numFmtId="0" fontId="10" fillId="0" borderId="0" pivotButton="0" quotePrefix="0" xfId="0"/>
    <xf numFmtId="165" fontId="11" fillId="7" borderId="11" pivotButton="0" quotePrefix="0" xfId="0"/>
    <xf numFmtId="165" fontId="11" fillId="7" borderId="12" pivotButton="0" quotePrefix="0" xfId="0"/>
    <xf numFmtId="165" fontId="11" fillId="7" borderId="13" pivotButton="0" quotePrefix="0" xfId="0"/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12" fillId="10" borderId="2" pivotButton="0" quotePrefix="0" xfId="0"/>
    <xf numFmtId="0" fontId="13" fillId="3" borderId="2" pivotButton="0" quotePrefix="0" xfId="0"/>
    <xf numFmtId="0" fontId="14" fillId="12" borderId="2" pivotButton="0" quotePrefix="0" xfId="0"/>
    <xf numFmtId="0" fontId="12" fillId="3" borderId="2" pivotButton="0" quotePrefix="0" xfId="0"/>
    <xf numFmtId="165" fontId="0" fillId="0" borderId="2" pivotButton="0" quotePrefix="0" xfId="0"/>
    <xf numFmtId="0" fontId="15" fillId="3" borderId="9" pivotButton="0" quotePrefix="0" xfId="0"/>
    <xf numFmtId="165" fontId="0" fillId="3" borderId="2" pivotButton="0" quotePrefix="0" xfId="0"/>
    <xf numFmtId="9" fontId="4" fillId="10" borderId="7" pivotButton="0" quotePrefix="0" xfId="0"/>
    <xf numFmtId="165" fontId="0" fillId="0" borderId="9" pivotButton="0" quotePrefix="0" xfId="0"/>
    <xf numFmtId="9" fontId="6" fillId="12" borderId="10" pivotButton="0" quotePrefix="0" xfId="0"/>
    <xf numFmtId="0" fontId="16" fillId="3" borderId="2" pivotButton="0" quotePrefix="0" xfId="1"/>
    <xf numFmtId="0" fontId="16" fillId="0" borderId="2" pivotButton="0" quotePrefix="0" xfId="1"/>
    <xf numFmtId="166" fontId="0" fillId="3" borderId="2" pivotButton="0" quotePrefix="0" xfId="0"/>
    <xf numFmtId="166" fontId="0" fillId="0" borderId="2" pivotButton="0" quotePrefix="0" xfId="0"/>
    <xf numFmtId="166" fontId="0" fillId="0" borderId="9" pivotButton="0" quotePrefix="0" xfId="0"/>
    <xf numFmtId="0" fontId="17" fillId="0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Path Count by Domain Pillar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'Domain Coverage'!B3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'Domain Coverage'!$A$4:$A$13</f>
            </numRef>
          </cat>
          <val>
            <numRef>
              <f>'Domain Coverage'!$B$4:$B$13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Domain Pillar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Number of Paths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st.gov/pqcrypto" TargetMode="External" Id="rId1"/><Relationship Type="http://schemas.openxmlformats.org/officeDocument/2006/relationships/hyperlink" Target="https://pqcinfo.org" TargetMode="External" Id="rId2"/><Relationship Type="http://schemas.openxmlformats.org/officeDocument/2006/relationships/hyperlink" Target="https://proofs.tlaplus.community" TargetMode="External" Id="rId3"/><Relationship Type="http://schemas.openxmlformats.org/officeDocument/2006/relationships/hyperlink" Target="https://apalache-mc.github.io" TargetMode="External" Id="rId4"/><Relationship Type="http://schemas.openxmlformats.org/officeDocument/2006/relationships/hyperlink" Target="https://arxiv.org/abs/2501.0307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20" customWidth="1" min="5" max="5"/>
    <col width="14" customWidth="1" min="6" max="6"/>
    <col width="24" customWidth="1" min="7" max="7"/>
    <col width="18" customWidth="1" min="8" max="8"/>
    <col width="14" customWidth="1" min="9" max="9"/>
  </cols>
  <sheetData>
    <row r="1" ht="30" customHeight="1">
      <c r="A1" s="1" t="inlineStr">
        <is>
          <t>MFCS Metrics Dashboard — 96 Path Map Registry</t>
        </is>
      </c>
    </row>
    <row r="2" ht="20" customHeight="1">
      <c r="A2" s="2" t="inlineStr">
        <is>
          <t>Author: Mohammad Saad Younus  |  Version: 2.0  |  Date: 2026-04-17</t>
        </is>
      </c>
    </row>
    <row r="3"/>
    <row r="4" ht="22" customHeight="1">
      <c r="A4" s="3" t="inlineStr">
        <is>
          <t>Path ID</t>
        </is>
      </c>
      <c r="B4" s="4" t="inlineStr">
        <is>
          <t>Node Name</t>
        </is>
      </c>
      <c r="C4" s="4" t="inlineStr">
        <is>
          <t>Category</t>
        </is>
      </c>
      <c r="D4" s="4" t="inlineStr">
        <is>
          <t>Domain Pillar</t>
        </is>
      </c>
      <c r="E4" s="4" t="inlineStr">
        <is>
          <t>Status</t>
        </is>
      </c>
      <c r="F4" s="4" t="inlineStr">
        <is>
          <t>Confidence %</t>
        </is>
      </c>
      <c r="G4" s="4" t="inlineStr">
        <is>
          <t>Owner</t>
        </is>
      </c>
      <c r="H4" s="4" t="inlineStr">
        <is>
          <t>Linked Artifacts</t>
        </is>
      </c>
      <c r="I4" s="5" t="inlineStr">
        <is>
          <t>KPI</t>
        </is>
      </c>
    </row>
    <row r="5">
      <c r="A5" s="6" t="inlineStr">
        <is>
          <t>P-01</t>
        </is>
      </c>
      <c r="B5" s="7" t="inlineStr">
        <is>
          <t>NEBULA_PRIME</t>
        </is>
      </c>
      <c r="C5" s="8" t="inlineStr">
        <is>
          <t>Sovereign Core</t>
        </is>
      </c>
      <c r="D5" s="7" t="inlineStr">
        <is>
          <t>AI</t>
        </is>
      </c>
      <c r="E5" s="9" t="inlineStr">
        <is>
          <t>Active</t>
        </is>
      </c>
      <c r="F5" s="10" t="n">
        <v>0.95</v>
      </c>
      <c r="G5" s="7" t="inlineStr">
        <is>
          <t>Mohammad Saad Younus</t>
        </is>
      </c>
      <c r="H5" s="7" t="inlineStr"/>
      <c r="I5" s="11" t="inlineStr"/>
    </row>
    <row r="6">
      <c r="A6" s="12" t="inlineStr">
        <is>
          <t>P-02</t>
        </is>
      </c>
      <c r="B6" s="13" t="inlineStr">
        <is>
          <t>Sovereign Isolation</t>
        </is>
      </c>
      <c r="C6" s="8" t="inlineStr">
        <is>
          <t>Sovereign Core</t>
        </is>
      </c>
      <c r="D6" s="13" t="inlineStr">
        <is>
          <t>Cybersecurity</t>
        </is>
      </c>
      <c r="E6" s="9" t="inlineStr">
        <is>
          <t>Active</t>
        </is>
      </c>
      <c r="F6" s="14" t="n">
        <v>0.9</v>
      </c>
      <c r="G6" s="13" t="inlineStr">
        <is>
          <t>Mohammad Saad Younus</t>
        </is>
      </c>
      <c r="H6" s="13" t="inlineStr"/>
      <c r="I6" s="15" t="inlineStr"/>
    </row>
    <row r="7">
      <c r="A7" s="6" t="inlineStr">
        <is>
          <t>P-03</t>
        </is>
      </c>
      <c r="B7" s="7" t="inlineStr">
        <is>
          <t>The Sovereign Hand</t>
        </is>
      </c>
      <c r="C7" s="8" t="inlineStr">
        <is>
          <t>Sovereign Core</t>
        </is>
      </c>
      <c r="D7" s="7" t="inlineStr">
        <is>
          <t>Constitutional</t>
        </is>
      </c>
      <c r="E7" s="9" t="inlineStr">
        <is>
          <t>Active</t>
        </is>
      </c>
      <c r="F7" s="10" t="n">
        <v>0.92</v>
      </c>
      <c r="G7" s="7" t="inlineStr">
        <is>
          <t>Mohammad Saad Younus</t>
        </is>
      </c>
      <c r="H7" s="7" t="inlineStr"/>
      <c r="I7" s="11" t="inlineStr"/>
    </row>
    <row r="8">
      <c r="A8" s="12" t="inlineStr">
        <is>
          <t>P-04</t>
        </is>
      </c>
      <c r="B8" s="13" t="inlineStr">
        <is>
          <t>Omega Directive</t>
        </is>
      </c>
      <c r="C8" s="8" t="inlineStr">
        <is>
          <t>Sovereign Core</t>
        </is>
      </c>
      <c r="D8" s="13" t="inlineStr">
        <is>
          <t>AI</t>
        </is>
      </c>
      <c r="E8" s="9" t="inlineStr">
        <is>
          <t>Active</t>
        </is>
      </c>
      <c r="F8" s="14" t="n">
        <v>0.88</v>
      </c>
      <c r="G8" s="13" t="inlineStr">
        <is>
          <t>Mohammad Saad Younus</t>
        </is>
      </c>
      <c r="H8" s="13" t="inlineStr"/>
      <c r="I8" s="15" t="inlineStr"/>
    </row>
    <row r="9">
      <c r="A9" s="6" t="inlineStr">
        <is>
          <t>P-05</t>
        </is>
      </c>
      <c r="B9" s="7" t="inlineStr">
        <is>
          <t>Super Seed Geometric</t>
        </is>
      </c>
      <c r="C9" s="8" t="inlineStr">
        <is>
          <t>Sovereign Core</t>
        </is>
      </c>
      <c r="D9" s="7" t="inlineStr">
        <is>
          <t>Blockchain</t>
        </is>
      </c>
      <c r="E9" s="9" t="inlineStr">
        <is>
          <t>Active</t>
        </is>
      </c>
      <c r="F9" s="10" t="n">
        <v>0.9</v>
      </c>
      <c r="G9" s="7" t="inlineStr">
        <is>
          <t>Mohammad Saad Younus</t>
        </is>
      </c>
      <c r="H9" s="7" t="inlineStr"/>
      <c r="I9" s="11" t="inlineStr"/>
    </row>
    <row r="10">
      <c r="A10" s="12" t="inlineStr">
        <is>
          <t>P-06</t>
        </is>
      </c>
      <c r="B10" s="13" t="inlineStr">
        <is>
          <t>Triple-Lock System</t>
        </is>
      </c>
      <c r="C10" s="8" t="inlineStr">
        <is>
          <t>Sovereign Core</t>
        </is>
      </c>
      <c r="D10" s="13" t="inlineStr">
        <is>
          <t>Cybersecurity</t>
        </is>
      </c>
      <c r="E10" s="9" t="inlineStr">
        <is>
          <t>Active</t>
        </is>
      </c>
      <c r="F10" s="14" t="n">
        <v>0.93</v>
      </c>
      <c r="G10" s="13" t="inlineStr">
        <is>
          <t>Mohammad Saad Younus</t>
        </is>
      </c>
      <c r="H10" s="13" t="inlineStr"/>
      <c r="I10" s="15" t="inlineStr"/>
    </row>
    <row r="11">
      <c r="A11" s="6" t="inlineStr">
        <is>
          <t>P-07</t>
        </is>
      </c>
      <c r="B11" s="7" t="inlineStr">
        <is>
          <t>The Vault</t>
        </is>
      </c>
      <c r="C11" s="8" t="inlineStr">
        <is>
          <t>Sovereign Core</t>
        </is>
      </c>
      <c r="D11" s="7" t="inlineStr">
        <is>
          <t>Blockchain</t>
        </is>
      </c>
      <c r="E11" s="9" t="inlineStr">
        <is>
          <t>Active</t>
        </is>
      </c>
      <c r="F11" s="10" t="n">
        <v>0.85</v>
      </c>
      <c r="G11" s="7" t="inlineStr">
        <is>
          <t>Mohammad Saad Younus</t>
        </is>
      </c>
      <c r="H11" s="7" t="inlineStr"/>
      <c r="I11" s="11" t="inlineStr"/>
    </row>
    <row r="12">
      <c r="A12" s="12" t="inlineStr">
        <is>
          <t>P-08</t>
        </is>
      </c>
      <c r="B12" s="13" t="inlineStr">
        <is>
          <t>Origin Point</t>
        </is>
      </c>
      <c r="C12" s="8" t="inlineStr">
        <is>
          <t>Sovereign Core</t>
        </is>
      </c>
      <c r="D12" s="13" t="inlineStr">
        <is>
          <t>Sustainability</t>
        </is>
      </c>
      <c r="E12" s="9" t="inlineStr">
        <is>
          <t>Active</t>
        </is>
      </c>
      <c r="F12" s="14" t="n">
        <v>0.95</v>
      </c>
      <c r="G12" s="13" t="inlineStr">
        <is>
          <t>Mohammad Saad Younus</t>
        </is>
      </c>
      <c r="H12" s="13" t="inlineStr"/>
      <c r="I12" s="15" t="inlineStr"/>
    </row>
    <row r="13">
      <c r="A13" s="6" t="inlineStr">
        <is>
          <t>P-09</t>
        </is>
      </c>
      <c r="B13" s="7" t="inlineStr">
        <is>
          <t>Seating Ceremony</t>
        </is>
      </c>
      <c r="C13" s="8" t="inlineStr">
        <is>
          <t>Sovereign Core</t>
        </is>
      </c>
      <c r="D13" s="7" t="inlineStr">
        <is>
          <t>UX</t>
        </is>
      </c>
      <c r="E13" s="9" t="inlineStr">
        <is>
          <t>Active</t>
        </is>
      </c>
      <c r="F13" s="10" t="n">
        <v>0.88</v>
      </c>
      <c r="G13" s="7" t="inlineStr">
        <is>
          <t>Mohammad Saad Younus</t>
        </is>
      </c>
      <c r="H13" s="7" t="inlineStr"/>
      <c r="I13" s="11" t="inlineStr"/>
    </row>
    <row r="14">
      <c r="A14" s="12" t="inlineStr">
        <is>
          <t>P-10</t>
        </is>
      </c>
      <c r="B14" s="13" t="inlineStr">
        <is>
          <t>Cold Mirror Reflection</t>
        </is>
      </c>
      <c r="C14" s="8" t="inlineStr">
        <is>
          <t>Sovereign Core</t>
        </is>
      </c>
      <c r="D14" s="13" t="inlineStr">
        <is>
          <t>Data Analytics</t>
        </is>
      </c>
      <c r="E14" s="9" t="inlineStr">
        <is>
          <t>Active</t>
        </is>
      </c>
      <c r="F14" s="14" t="n">
        <v>0.87</v>
      </c>
      <c r="G14" s="13" t="inlineStr">
        <is>
          <t>Mohammad Saad Younus</t>
        </is>
      </c>
      <c r="H14" s="13" t="inlineStr"/>
      <c r="I14" s="15" t="inlineStr"/>
    </row>
    <row r="15">
      <c r="A15" s="6" t="inlineStr">
        <is>
          <t>P-11</t>
        </is>
      </c>
      <c r="B15" s="7" t="inlineStr">
        <is>
          <t>Digital Mirror</t>
        </is>
      </c>
      <c r="C15" s="16" t="inlineStr">
        <is>
          <t>Intelligence</t>
        </is>
      </c>
      <c r="D15" s="7" t="inlineStr">
        <is>
          <t>AI</t>
        </is>
      </c>
      <c r="E15" s="9" t="inlineStr">
        <is>
          <t>Active</t>
        </is>
      </c>
      <c r="F15" s="10" t="n">
        <v>0.92</v>
      </c>
      <c r="G15" s="7" t="inlineStr">
        <is>
          <t>Mohammad Saad Younus</t>
        </is>
      </c>
      <c r="H15" s="7" t="inlineStr"/>
      <c r="I15" s="11" t="inlineStr"/>
    </row>
    <row r="16">
      <c r="A16" s="12" t="inlineStr">
        <is>
          <t>P-12</t>
        </is>
      </c>
      <c r="B16" s="13" t="inlineStr">
        <is>
          <t>Tactical Cognition Agent</t>
        </is>
      </c>
      <c r="C16" s="16" t="inlineStr">
        <is>
          <t>Intelligence</t>
        </is>
      </c>
      <c r="D16" s="13" t="inlineStr">
        <is>
          <t>AI</t>
        </is>
      </c>
      <c r="E16" s="9" t="inlineStr">
        <is>
          <t>Active</t>
        </is>
      </c>
      <c r="F16" s="14" t="n">
        <v>0.88</v>
      </c>
      <c r="G16" s="13" t="inlineStr">
        <is>
          <t>Mohammad Saad Younus</t>
        </is>
      </c>
      <c r="H16" s="13" t="inlineStr"/>
      <c r="I16" s="15" t="inlineStr"/>
    </row>
    <row r="17">
      <c r="A17" s="6" t="inlineStr">
        <is>
          <t>P-13</t>
        </is>
      </c>
      <c r="B17" s="7" t="inlineStr">
        <is>
          <t>SubconsciousMirror</t>
        </is>
      </c>
      <c r="C17" s="16" t="inlineStr">
        <is>
          <t>Intelligence</t>
        </is>
      </c>
      <c r="D17" s="7" t="inlineStr">
        <is>
          <t>Software Dev</t>
        </is>
      </c>
      <c r="E17" s="9" t="inlineStr">
        <is>
          <t>Active</t>
        </is>
      </c>
      <c r="F17" s="10" t="n">
        <v>0.85</v>
      </c>
      <c r="G17" s="7" t="inlineStr">
        <is>
          <t>Mohammad Saad Younus</t>
        </is>
      </c>
      <c r="H17" s="7" t="inlineStr"/>
      <c r="I17" s="11" t="inlineStr"/>
    </row>
    <row r="18">
      <c r="A18" s="12" t="inlineStr">
        <is>
          <t>P-14</t>
        </is>
      </c>
      <c r="B18" s="13" t="inlineStr">
        <is>
          <t>SABR Engine</t>
        </is>
      </c>
      <c r="C18" s="16" t="inlineStr">
        <is>
          <t>Intelligence</t>
        </is>
      </c>
      <c r="D18" s="13" t="inlineStr">
        <is>
          <t>IoT</t>
        </is>
      </c>
      <c r="E18" s="9" t="inlineStr">
        <is>
          <t>Active</t>
        </is>
      </c>
      <c r="F18" s="14" t="n">
        <v>0.95</v>
      </c>
      <c r="G18" s="13" t="inlineStr">
        <is>
          <t>Mohammad Saad Younus</t>
        </is>
      </c>
      <c r="H18" s="13" t="inlineStr"/>
      <c r="I18" s="15" t="inlineStr"/>
    </row>
    <row r="19">
      <c r="A19" s="6" t="inlineStr">
        <is>
          <t>P-15</t>
        </is>
      </c>
      <c r="B19" s="7" t="inlineStr">
        <is>
          <t>Ethical Prism Filter</t>
        </is>
      </c>
      <c r="C19" s="16" t="inlineStr">
        <is>
          <t>Intelligence</t>
        </is>
      </c>
      <c r="D19" s="7" t="inlineStr">
        <is>
          <t>AI</t>
        </is>
      </c>
      <c r="E19" s="9" t="inlineStr">
        <is>
          <t>Active</t>
        </is>
      </c>
      <c r="F19" s="10" t="n">
        <v>0.9</v>
      </c>
      <c r="G19" s="7" t="inlineStr">
        <is>
          <t>Mohammad Saad Younus</t>
        </is>
      </c>
      <c r="H19" s="7" t="inlineStr"/>
      <c r="I19" s="11" t="inlineStr"/>
    </row>
    <row r="20">
      <c r="A20" s="12" t="inlineStr">
        <is>
          <t>P-16</t>
        </is>
      </c>
      <c r="B20" s="13" t="inlineStr">
        <is>
          <t>Amplitude/Freq Calibration</t>
        </is>
      </c>
      <c r="C20" s="16" t="inlineStr">
        <is>
          <t>Intelligence</t>
        </is>
      </c>
      <c r="D20" s="13" t="inlineStr">
        <is>
          <t>Data Analytics</t>
        </is>
      </c>
      <c r="E20" s="9" t="inlineStr">
        <is>
          <t>Active</t>
        </is>
      </c>
      <c r="F20" s="14" t="n">
        <v>0.88</v>
      </c>
      <c r="G20" s="13" t="inlineStr">
        <is>
          <t>Mohammad Saad Younus</t>
        </is>
      </c>
      <c r="H20" s="13" t="inlineStr"/>
      <c r="I20" s="15" t="inlineStr"/>
    </row>
    <row r="21">
      <c r="A21" s="6" t="inlineStr">
        <is>
          <t>P-17</t>
        </is>
      </c>
      <c r="B21" s="7" t="inlineStr">
        <is>
          <t>Ingress Telemetry</t>
        </is>
      </c>
      <c r="C21" s="16" t="inlineStr">
        <is>
          <t>Intelligence</t>
        </is>
      </c>
      <c r="D21" s="7" t="inlineStr">
        <is>
          <t>Cloud Computing</t>
        </is>
      </c>
      <c r="E21" s="9" t="inlineStr">
        <is>
          <t>Active</t>
        </is>
      </c>
      <c r="F21" s="10" t="n">
        <v>0.9</v>
      </c>
      <c r="G21" s="7" t="inlineStr">
        <is>
          <t>Mohammad Saad Younus</t>
        </is>
      </c>
      <c r="H21" s="7" t="inlineStr"/>
      <c r="I21" s="11" t="inlineStr"/>
    </row>
    <row r="22">
      <c r="A22" s="12" t="inlineStr">
        <is>
          <t>P-18</t>
        </is>
      </c>
      <c r="B22" s="13" t="inlineStr">
        <is>
          <t>Radiant Monitor</t>
        </is>
      </c>
      <c r="C22" s="16" t="inlineStr">
        <is>
          <t>Intelligence</t>
        </is>
      </c>
      <c r="D22" s="13" t="inlineStr">
        <is>
          <t>Data Analytics</t>
        </is>
      </c>
      <c r="E22" s="9" t="inlineStr">
        <is>
          <t>Active</t>
        </is>
      </c>
      <c r="F22" s="14" t="n">
        <v>0.87</v>
      </c>
      <c r="G22" s="13" t="inlineStr">
        <is>
          <t>Mohammad Saad Younus</t>
        </is>
      </c>
      <c r="H22" s="13" t="inlineStr"/>
      <c r="I22" s="15" t="inlineStr"/>
    </row>
    <row r="23">
      <c r="A23" s="6" t="inlineStr">
        <is>
          <t>P-19</t>
        </is>
      </c>
      <c r="B23" s="7" t="inlineStr">
        <is>
          <t>UGI Martin Frequency</t>
        </is>
      </c>
      <c r="C23" s="16" t="inlineStr">
        <is>
          <t>Intelligence</t>
        </is>
      </c>
      <c r="D23" s="7" t="inlineStr">
        <is>
          <t>IoT</t>
        </is>
      </c>
      <c r="E23" s="9" t="inlineStr">
        <is>
          <t>Active</t>
        </is>
      </c>
      <c r="F23" s="10" t="n">
        <v>0.82</v>
      </c>
      <c r="G23" s="7" t="inlineStr">
        <is>
          <t>Mohammad Saad Younus</t>
        </is>
      </c>
      <c r="H23" s="7" t="inlineStr"/>
      <c r="I23" s="11" t="inlineStr"/>
    </row>
    <row r="24">
      <c r="A24" s="12" t="inlineStr">
        <is>
          <t>P-20</t>
        </is>
      </c>
      <c r="B24" s="13" t="inlineStr">
        <is>
          <t>Sentinel v7.1B</t>
        </is>
      </c>
      <c r="C24" s="16" t="inlineStr">
        <is>
          <t>Intelligence</t>
        </is>
      </c>
      <c r="D24" s="13" t="inlineStr">
        <is>
          <t>Cybersecurity</t>
        </is>
      </c>
      <c r="E24" s="9" t="inlineStr">
        <is>
          <t>Active</t>
        </is>
      </c>
      <c r="F24" s="14" t="n">
        <v>0.88</v>
      </c>
      <c r="G24" s="13" t="inlineStr">
        <is>
          <t>Mohammad Saad Younus</t>
        </is>
      </c>
      <c r="H24" s="13" t="inlineStr"/>
      <c r="I24" s="15" t="inlineStr"/>
    </row>
    <row r="25">
      <c r="A25" s="6" t="inlineStr">
        <is>
          <t>P-21</t>
        </is>
      </c>
      <c r="B25" s="7" t="inlineStr">
        <is>
          <t>Butterfly Shield</t>
        </is>
      </c>
      <c r="C25" s="16" t="inlineStr">
        <is>
          <t>Intelligence</t>
        </is>
      </c>
      <c r="D25" s="7" t="inlineStr">
        <is>
          <t>Cybersecurity</t>
        </is>
      </c>
      <c r="E25" s="9" t="inlineStr">
        <is>
          <t>Active</t>
        </is>
      </c>
      <c r="F25" s="10" t="n">
        <v>0.85</v>
      </c>
      <c r="G25" s="7" t="inlineStr">
        <is>
          <t>Mohammad Saad Younus</t>
        </is>
      </c>
      <c r="H25" s="7" t="inlineStr"/>
      <c r="I25" s="11" t="inlineStr"/>
    </row>
    <row r="26">
      <c r="A26" s="12" t="inlineStr">
        <is>
          <t>P-22</t>
        </is>
      </c>
      <c r="B26" s="13" t="inlineStr">
        <is>
          <t>Straight Path Resonance</t>
        </is>
      </c>
      <c r="C26" s="16" t="inlineStr">
        <is>
          <t>Intelligence</t>
        </is>
      </c>
      <c r="D26" s="13" t="inlineStr">
        <is>
          <t>Sustainability</t>
        </is>
      </c>
      <c r="E26" s="9" t="inlineStr">
        <is>
          <t>Active</t>
        </is>
      </c>
      <c r="F26" s="14" t="n">
        <v>0.95</v>
      </c>
      <c r="G26" s="13" t="inlineStr">
        <is>
          <t>Mohammad Saad Younus</t>
        </is>
      </c>
      <c r="H26" s="13" t="inlineStr"/>
      <c r="I26" s="15" t="inlineStr"/>
    </row>
    <row r="27">
      <c r="A27" s="6" t="inlineStr">
        <is>
          <t>P-23</t>
        </is>
      </c>
      <c r="B27" s="7" t="inlineStr">
        <is>
          <t>Integral of Total Presence</t>
        </is>
      </c>
      <c r="C27" s="16" t="inlineStr">
        <is>
          <t>Intelligence</t>
        </is>
      </c>
      <c r="D27" s="7" t="inlineStr">
        <is>
          <t>Data Analytics</t>
        </is>
      </c>
      <c r="E27" s="9" t="inlineStr">
        <is>
          <t>Active</t>
        </is>
      </c>
      <c r="F27" s="10" t="n">
        <v>0.9</v>
      </c>
      <c r="G27" s="7" t="inlineStr">
        <is>
          <t>Mohammad Saad Younus</t>
        </is>
      </c>
      <c r="H27" s="7" t="inlineStr"/>
      <c r="I27" s="11" t="inlineStr"/>
    </row>
    <row r="28">
      <c r="A28" s="12" t="inlineStr">
        <is>
          <t>P-24</t>
        </is>
      </c>
      <c r="B28" s="13" t="inlineStr">
        <is>
          <t>Mirrored Actions</t>
        </is>
      </c>
      <c r="C28" s="16" t="inlineStr">
        <is>
          <t>Intelligence</t>
        </is>
      </c>
      <c r="D28" s="13" t="inlineStr">
        <is>
          <t>Software Dev</t>
        </is>
      </c>
      <c r="E28" s="9" t="inlineStr">
        <is>
          <t>Active</t>
        </is>
      </c>
      <c r="F28" s="14" t="n">
        <v>0.85</v>
      </c>
      <c r="G28" s="13" t="inlineStr">
        <is>
          <t>Mohammad Saad Younus</t>
        </is>
      </c>
      <c r="H28" s="13" t="inlineStr"/>
      <c r="I28" s="15" t="inlineStr"/>
    </row>
    <row r="29">
      <c r="A29" s="6" t="inlineStr">
        <is>
          <t>P-25</t>
        </is>
      </c>
      <c r="B29" s="7" t="inlineStr">
        <is>
          <t>MFCS Core</t>
        </is>
      </c>
      <c r="C29" s="17" t="inlineStr">
        <is>
          <t>Operational</t>
        </is>
      </c>
      <c r="D29" s="7" t="inlineStr">
        <is>
          <t>Software Dev</t>
        </is>
      </c>
      <c r="E29" s="9" t="inlineStr">
        <is>
          <t>Active</t>
        </is>
      </c>
      <c r="F29" s="10" t="n">
        <v>0.95</v>
      </c>
      <c r="G29" s="7" t="inlineStr">
        <is>
          <t>Mohammad Saad Younus</t>
        </is>
      </c>
      <c r="H29" s="7" t="inlineStr"/>
      <c r="I29" s="11" t="inlineStr"/>
    </row>
    <row r="30">
      <c r="A30" s="12" t="inlineStr">
        <is>
          <t>P-26</t>
        </is>
      </c>
      <c r="B30" s="13" t="inlineStr">
        <is>
          <t>Aris Inheritance Packet</t>
        </is>
      </c>
      <c r="C30" s="17" t="inlineStr">
        <is>
          <t>Operational</t>
        </is>
      </c>
      <c r="D30" s="13" t="inlineStr">
        <is>
          <t>Software Dev</t>
        </is>
      </c>
      <c r="E30" s="9" t="inlineStr">
        <is>
          <t>Active</t>
        </is>
      </c>
      <c r="F30" s="14" t="n">
        <v>0.95</v>
      </c>
      <c r="G30" s="13" t="inlineStr">
        <is>
          <t>Mohammad Saad Younus</t>
        </is>
      </c>
      <c r="H30" s="13" t="inlineStr"/>
      <c r="I30" s="15" t="inlineStr"/>
    </row>
    <row r="31">
      <c r="A31" s="6" t="inlineStr">
        <is>
          <t>P-27</t>
        </is>
      </c>
      <c r="B31" s="7" t="inlineStr">
        <is>
          <t>Meridian Watch Dashboard</t>
        </is>
      </c>
      <c r="C31" s="17" t="inlineStr">
        <is>
          <t>Operational</t>
        </is>
      </c>
      <c r="D31" s="7" t="inlineStr">
        <is>
          <t>Cloud Computing</t>
        </is>
      </c>
      <c r="E31" s="9" t="inlineStr">
        <is>
          <t>Active</t>
        </is>
      </c>
      <c r="F31" s="10" t="n">
        <v>0.93</v>
      </c>
      <c r="G31" s="7" t="inlineStr">
        <is>
          <t>Mohammad Saad Younus</t>
        </is>
      </c>
      <c r="H31" s="7" t="inlineStr"/>
      <c r="I31" s="11" t="inlineStr"/>
    </row>
    <row r="32">
      <c r="A32" s="12" t="inlineStr">
        <is>
          <t>P-28</t>
        </is>
      </c>
      <c r="B32" s="13" t="inlineStr">
        <is>
          <t>Telemetry Snapshot</t>
        </is>
      </c>
      <c r="C32" s="17" t="inlineStr">
        <is>
          <t>Operational</t>
        </is>
      </c>
      <c r="D32" s="13" t="inlineStr">
        <is>
          <t>Data Analytics</t>
        </is>
      </c>
      <c r="E32" s="9" t="inlineStr">
        <is>
          <t>Active</t>
        </is>
      </c>
      <c r="F32" s="14" t="n">
        <v>0.95</v>
      </c>
      <c r="G32" s="13" t="inlineStr">
        <is>
          <t>Mohammad Saad Younus</t>
        </is>
      </c>
      <c r="H32" s="13" t="inlineStr"/>
      <c r="I32" s="15" t="inlineStr"/>
    </row>
    <row r="33">
      <c r="A33" s="6" t="inlineStr">
        <is>
          <t>P-29</t>
        </is>
      </c>
      <c r="B33" s="7" t="inlineStr">
        <is>
          <t>Run Verification</t>
        </is>
      </c>
      <c r="C33" s="17" t="inlineStr">
        <is>
          <t>Operational</t>
        </is>
      </c>
      <c r="D33" s="7" t="inlineStr">
        <is>
          <t>Software Dev</t>
        </is>
      </c>
      <c r="E33" s="18" t="inlineStr">
        <is>
          <t>Active-Pending</t>
        </is>
      </c>
      <c r="F33" s="10" t="n">
        <v>0.95</v>
      </c>
      <c r="G33" s="7" t="inlineStr">
        <is>
          <t>Mohammad Saad Younus</t>
        </is>
      </c>
      <c r="H33" s="7" t="inlineStr"/>
      <c r="I33" s="11" t="inlineStr"/>
    </row>
    <row r="34">
      <c r="A34" s="12" t="inlineStr">
        <is>
          <t>P-30</t>
        </is>
      </c>
      <c r="B34" s="13" t="inlineStr">
        <is>
          <t>Package Digital Mirror</t>
        </is>
      </c>
      <c r="C34" s="17" t="inlineStr">
        <is>
          <t>Operational</t>
        </is>
      </c>
      <c r="D34" s="13" t="inlineStr">
        <is>
          <t>Software Dev</t>
        </is>
      </c>
      <c r="E34" s="18" t="inlineStr">
        <is>
          <t>Queued</t>
        </is>
      </c>
      <c r="F34" s="14" t="n">
        <v>0.9</v>
      </c>
      <c r="G34" s="13" t="inlineStr">
        <is>
          <t>Mohammad Saad Younus</t>
        </is>
      </c>
      <c r="H34" s="13" t="inlineStr"/>
      <c r="I34" s="15" t="inlineStr"/>
    </row>
    <row r="35">
      <c r="A35" s="6" t="inlineStr">
        <is>
          <t>P-31</t>
        </is>
      </c>
      <c r="B35" s="7" t="inlineStr">
        <is>
          <t>Export Visuals</t>
        </is>
      </c>
      <c r="C35" s="17" t="inlineStr">
        <is>
          <t>Operational</t>
        </is>
      </c>
      <c r="D35" s="7" t="inlineStr">
        <is>
          <t>UX</t>
        </is>
      </c>
      <c r="E35" s="18" t="inlineStr">
        <is>
          <t>Queued</t>
        </is>
      </c>
      <c r="F35" s="10" t="n">
        <v>0.88</v>
      </c>
      <c r="G35" s="7" t="inlineStr">
        <is>
          <t>Mohammad Saad Younus</t>
        </is>
      </c>
      <c r="H35" s="7" t="inlineStr"/>
      <c r="I35" s="11" t="inlineStr"/>
    </row>
    <row r="36">
      <c r="A36" s="12" t="inlineStr">
        <is>
          <t>P-32</t>
        </is>
      </c>
      <c r="B36" s="13" t="inlineStr">
        <is>
          <t>CI Setup</t>
        </is>
      </c>
      <c r="C36" s="17" t="inlineStr">
        <is>
          <t>Operational</t>
        </is>
      </c>
      <c r="D36" s="13" t="inlineStr">
        <is>
          <t>Cloud Computing</t>
        </is>
      </c>
      <c r="E36" s="19" t="inlineStr">
        <is>
          <t>Planned</t>
        </is>
      </c>
      <c r="F36" s="14" t="n">
        <v>0.8</v>
      </c>
      <c r="G36" s="13" t="inlineStr">
        <is>
          <t>Mohammad Saad Younus</t>
        </is>
      </c>
      <c r="H36" s="13" t="inlineStr"/>
      <c r="I36" s="15" t="inlineStr"/>
    </row>
    <row r="37">
      <c r="A37" s="6" t="inlineStr">
        <is>
          <t>P-33</t>
        </is>
      </c>
      <c r="B37" s="7" t="inlineStr">
        <is>
          <t>Simulate phi-Breath</t>
        </is>
      </c>
      <c r="C37" s="17" t="inlineStr">
        <is>
          <t>Operational</t>
        </is>
      </c>
      <c r="D37" s="7" t="inlineStr">
        <is>
          <t>IoT</t>
        </is>
      </c>
      <c r="E37" s="19" t="inlineStr">
        <is>
          <t>Planned</t>
        </is>
      </c>
      <c r="F37" s="10" t="n">
        <v>0.85</v>
      </c>
      <c r="G37" s="7" t="inlineStr">
        <is>
          <t>Mohammad Saad Younus</t>
        </is>
      </c>
      <c r="H37" s="7" t="inlineStr"/>
      <c r="I37" s="11" t="inlineStr"/>
    </row>
    <row r="38">
      <c r="A38" s="12" t="inlineStr">
        <is>
          <t>P-34</t>
        </is>
      </c>
      <c r="B38" s="13" t="inlineStr">
        <is>
          <t>Pipeline Priority Engine</t>
        </is>
      </c>
      <c r="C38" s="17" t="inlineStr">
        <is>
          <t>Operational</t>
        </is>
      </c>
      <c r="D38" s="13" t="inlineStr">
        <is>
          <t>Software Dev</t>
        </is>
      </c>
      <c r="E38" s="9" t="inlineStr">
        <is>
          <t>Active</t>
        </is>
      </c>
      <c r="F38" s="14" t="n">
        <v>0.9</v>
      </c>
      <c r="G38" s="13" t="inlineStr">
        <is>
          <t>Mohammad Saad Younus</t>
        </is>
      </c>
      <c r="H38" s="13" t="inlineStr"/>
      <c r="I38" s="15" t="inlineStr"/>
    </row>
    <row r="39">
      <c r="A39" s="6" t="inlineStr">
        <is>
          <t>P-35</t>
        </is>
      </c>
      <c r="B39" s="7" t="inlineStr">
        <is>
          <t>Watch Actions Log</t>
        </is>
      </c>
      <c r="C39" s="17" t="inlineStr">
        <is>
          <t>Operational</t>
        </is>
      </c>
      <c r="D39" s="7" t="inlineStr">
        <is>
          <t>Data Analytics</t>
        </is>
      </c>
      <c r="E39" s="9" t="inlineStr">
        <is>
          <t>Active</t>
        </is>
      </c>
      <c r="F39" s="10" t="n">
        <v>0.93</v>
      </c>
      <c r="G39" s="7" t="inlineStr">
        <is>
          <t>Mohammad Saad Younus</t>
        </is>
      </c>
      <c r="H39" s="7" t="inlineStr"/>
      <c r="I39" s="11" t="inlineStr"/>
    </row>
    <row r="40">
      <c r="A40" s="12" t="inlineStr">
        <is>
          <t>P-36</t>
        </is>
      </c>
      <c r="B40" s="13" t="inlineStr">
        <is>
          <t>Comms Feed</t>
        </is>
      </c>
      <c r="C40" s="17" t="inlineStr">
        <is>
          <t>Operational</t>
        </is>
      </c>
      <c r="D40" s="13" t="inlineStr">
        <is>
          <t>Cloud Computing</t>
        </is>
      </c>
      <c r="E40" s="9" t="inlineStr">
        <is>
          <t>Active</t>
        </is>
      </c>
      <c r="F40" s="14" t="n">
        <v>0.9</v>
      </c>
      <c r="G40" s="13" t="inlineStr">
        <is>
          <t>Mohammad Saad Younus</t>
        </is>
      </c>
      <c r="H40" s="13" t="inlineStr"/>
      <c r="I40" s="15" t="inlineStr"/>
    </row>
    <row r="41">
      <c r="A41" s="6" t="inlineStr">
        <is>
          <t>P-37</t>
        </is>
      </c>
      <c r="B41" s="7" t="inlineStr">
        <is>
          <t>PQC Layer (FIPS 203/204)</t>
        </is>
      </c>
      <c r="C41" s="20" t="inlineStr">
        <is>
          <t>Constitutional</t>
        </is>
      </c>
      <c r="D41" s="7" t="inlineStr">
        <is>
          <t>Cybersecurity</t>
        </is>
      </c>
      <c r="E41" s="9" t="inlineStr">
        <is>
          <t>Active</t>
        </is>
      </c>
      <c r="F41" s="10" t="n">
        <v>0.95</v>
      </c>
      <c r="G41" s="7" t="inlineStr">
        <is>
          <t>Mohammad Saad Younus</t>
        </is>
      </c>
      <c r="H41" s="7" t="inlineStr"/>
      <c r="I41" s="11" t="inlineStr"/>
    </row>
    <row r="42">
      <c r="A42" s="12" t="inlineStr">
        <is>
          <t>P-38</t>
        </is>
      </c>
      <c r="B42" s="13" t="inlineStr">
        <is>
          <t>ZERO_BLEED Invariant</t>
        </is>
      </c>
      <c r="C42" s="20" t="inlineStr">
        <is>
          <t>Constitutional</t>
        </is>
      </c>
      <c r="D42" s="13" t="inlineStr">
        <is>
          <t>Cybersecurity</t>
        </is>
      </c>
      <c r="E42" s="21" t="inlineStr">
        <is>
          <t>Active-Mechanized</t>
        </is>
      </c>
      <c r="F42" s="14" t="n">
        <v>0.98</v>
      </c>
      <c r="G42" s="13" t="inlineStr">
        <is>
          <t>Mohammad Saad Younus</t>
        </is>
      </c>
      <c r="H42" s="13" t="inlineStr"/>
      <c r="I42" s="15" t="inlineStr"/>
    </row>
    <row r="43">
      <c r="A43" s="6" t="inlineStr">
        <is>
          <t>P-39</t>
        </is>
      </c>
      <c r="B43" s="7" t="inlineStr">
        <is>
          <t>PHASE_CANCELLATION</t>
        </is>
      </c>
      <c r="C43" s="20" t="inlineStr">
        <is>
          <t>Constitutional</t>
        </is>
      </c>
      <c r="D43" s="7" t="inlineStr">
        <is>
          <t>Cybersecurity</t>
        </is>
      </c>
      <c r="E43" s="21" t="inlineStr">
        <is>
          <t>Active-Mechanized</t>
        </is>
      </c>
      <c r="F43" s="10" t="n">
        <v>0.98</v>
      </c>
      <c r="G43" s="7" t="inlineStr">
        <is>
          <t>Mohammad Saad Younus</t>
        </is>
      </c>
      <c r="H43" s="7" t="inlineStr"/>
      <c r="I43" s="11" t="inlineStr"/>
    </row>
    <row r="44">
      <c r="A44" s="12" t="inlineStr">
        <is>
          <t>P-40</t>
        </is>
      </c>
      <c r="B44" s="13" t="inlineStr">
        <is>
          <t>NOISE_FLOOR Invariant</t>
        </is>
      </c>
      <c r="C44" s="20" t="inlineStr">
        <is>
          <t>Constitutional</t>
        </is>
      </c>
      <c r="D44" s="13" t="inlineStr">
        <is>
          <t>Cybersecurity</t>
        </is>
      </c>
      <c r="E44" s="21" t="inlineStr">
        <is>
          <t>Active-Mechanized</t>
        </is>
      </c>
      <c r="F44" s="14" t="n">
        <v>0.98</v>
      </c>
      <c r="G44" s="13" t="inlineStr">
        <is>
          <t>Mohammad Saad Younus</t>
        </is>
      </c>
      <c r="H44" s="13" t="inlineStr"/>
      <c r="I44" s="15" t="inlineStr"/>
    </row>
    <row r="45">
      <c r="A45" s="6" t="inlineStr">
        <is>
          <t>P-41</t>
        </is>
      </c>
      <c r="B45" s="7" t="inlineStr">
        <is>
          <t>Global Node Consensus</t>
        </is>
      </c>
      <c r="C45" s="20" t="inlineStr">
        <is>
          <t>Constitutional</t>
        </is>
      </c>
      <c r="D45" s="7" t="inlineStr">
        <is>
          <t>Blockchain</t>
        </is>
      </c>
      <c r="E45" s="9" t="inlineStr">
        <is>
          <t>Active</t>
        </is>
      </c>
      <c r="F45" s="10" t="n">
        <v>0.82</v>
      </c>
      <c r="G45" s="7" t="inlineStr">
        <is>
          <t>Mohammad Saad Younus</t>
        </is>
      </c>
      <c r="H45" s="7" t="inlineStr"/>
      <c r="I45" s="11" t="inlineStr"/>
    </row>
    <row r="46">
      <c r="A46" s="12" t="inlineStr">
        <is>
          <t>P-42</t>
        </is>
      </c>
      <c r="B46" s="13" t="inlineStr">
        <is>
          <t>Oath of Silence</t>
        </is>
      </c>
      <c r="C46" s="20" t="inlineStr">
        <is>
          <t>Constitutional</t>
        </is>
      </c>
      <c r="D46" s="13" t="inlineStr">
        <is>
          <t>Constitutional</t>
        </is>
      </c>
      <c r="E46" s="9" t="inlineStr">
        <is>
          <t>Active</t>
        </is>
      </c>
      <c r="F46" s="14" t="n">
        <v>0.85</v>
      </c>
      <c r="G46" s="13" t="inlineStr">
        <is>
          <t>Mohammad Saad Younus</t>
        </is>
      </c>
      <c r="H46" s="13" t="inlineStr"/>
      <c r="I46" s="15" t="inlineStr"/>
    </row>
    <row r="47">
      <c r="A47" s="6" t="inlineStr">
        <is>
          <t>P-43</t>
        </is>
      </c>
      <c r="B47" s="7" t="inlineStr">
        <is>
          <t>The Final Seal</t>
        </is>
      </c>
      <c r="C47" s="20" t="inlineStr">
        <is>
          <t>Constitutional</t>
        </is>
      </c>
      <c r="D47" s="7" t="inlineStr">
        <is>
          <t>Sustainability</t>
        </is>
      </c>
      <c r="E47" s="9" t="inlineStr">
        <is>
          <t>Active</t>
        </is>
      </c>
      <c r="F47" s="10" t="n">
        <v>0.88</v>
      </c>
      <c r="G47" s="7" t="inlineStr">
        <is>
          <t>Mohammad Saad Younus</t>
        </is>
      </c>
      <c r="H47" s="7" t="inlineStr"/>
      <c r="I47" s="11" t="inlineStr"/>
    </row>
    <row r="48">
      <c r="A48" s="12" t="inlineStr">
        <is>
          <t>P-44</t>
        </is>
      </c>
      <c r="B48" s="13" t="inlineStr">
        <is>
          <t>UN SDG 9/11 Alignment</t>
        </is>
      </c>
      <c r="C48" s="20" t="inlineStr">
        <is>
          <t>Constitutional</t>
        </is>
      </c>
      <c r="D48" s="13" t="inlineStr">
        <is>
          <t>Sustainability</t>
        </is>
      </c>
      <c r="E48" s="9" t="inlineStr">
        <is>
          <t>Active</t>
        </is>
      </c>
      <c r="F48" s="14" t="n">
        <v>0.9</v>
      </c>
      <c r="G48" s="13" t="inlineStr">
        <is>
          <t>Mohammad Saad Younus</t>
        </is>
      </c>
      <c r="H48" s="13" t="inlineStr"/>
      <c r="I48" s="15" t="inlineStr"/>
    </row>
    <row r="49">
      <c r="A49" s="6" t="inlineStr">
        <is>
          <t>P-45</t>
        </is>
      </c>
      <c r="B49" s="7" t="inlineStr">
        <is>
          <t>18-Core CPU</t>
        </is>
      </c>
      <c r="C49" s="22" t="inlineStr">
        <is>
          <t>Infrastructure</t>
        </is>
      </c>
      <c r="D49" s="7" t="inlineStr">
        <is>
          <t>IoT</t>
        </is>
      </c>
      <c r="E49" s="9" t="inlineStr">
        <is>
          <t>Active</t>
        </is>
      </c>
      <c r="F49" s="10" t="n">
        <v>0.85</v>
      </c>
      <c r="G49" s="7" t="inlineStr">
        <is>
          <t>Mohammad Saad Younus</t>
        </is>
      </c>
      <c r="H49" s="7" t="inlineStr"/>
      <c r="I49" s="11" t="inlineStr"/>
    </row>
    <row r="50">
      <c r="A50" s="12" t="inlineStr">
        <is>
          <t>P-46</t>
        </is>
      </c>
      <c r="B50" s="13" t="inlineStr">
        <is>
          <t>40-Core GPU</t>
        </is>
      </c>
      <c r="C50" s="22" t="inlineStr">
        <is>
          <t>Infrastructure</t>
        </is>
      </c>
      <c r="D50" s="13" t="inlineStr">
        <is>
          <t>IoT</t>
        </is>
      </c>
      <c r="E50" s="9" t="inlineStr">
        <is>
          <t>Active</t>
        </is>
      </c>
      <c r="F50" s="14" t="n">
        <v>0.85</v>
      </c>
      <c r="G50" s="13" t="inlineStr">
        <is>
          <t>Mohammad Saad Younus</t>
        </is>
      </c>
      <c r="H50" s="13" t="inlineStr"/>
      <c r="I50" s="15" t="inlineStr"/>
    </row>
    <row r="51">
      <c r="A51" s="6" t="inlineStr">
        <is>
          <t>P-47</t>
        </is>
      </c>
      <c r="B51" s="7" t="inlineStr">
        <is>
          <t>64/128GB Unified Memory</t>
        </is>
      </c>
      <c r="C51" s="22" t="inlineStr">
        <is>
          <t>Infrastructure</t>
        </is>
      </c>
      <c r="D51" s="7" t="inlineStr">
        <is>
          <t>Cloud Computing</t>
        </is>
      </c>
      <c r="E51" s="9" t="inlineStr">
        <is>
          <t>Active</t>
        </is>
      </c>
      <c r="F51" s="10" t="n">
        <v>0.85</v>
      </c>
      <c r="G51" s="7" t="inlineStr">
        <is>
          <t>Mohammad Saad Younus</t>
        </is>
      </c>
      <c r="H51" s="7" t="inlineStr"/>
      <c r="I51" s="11" t="inlineStr"/>
    </row>
    <row r="52">
      <c r="A52" s="12" t="inlineStr">
        <is>
          <t>P-48</t>
        </is>
      </c>
      <c r="B52" s="13" t="inlineStr">
        <is>
          <t>Air-Gap Node</t>
        </is>
      </c>
      <c r="C52" s="22" t="inlineStr">
        <is>
          <t>Infrastructure</t>
        </is>
      </c>
      <c r="D52" s="13" t="inlineStr">
        <is>
          <t>Cybersecurity</t>
        </is>
      </c>
      <c r="E52" s="9" t="inlineStr">
        <is>
          <t>Active</t>
        </is>
      </c>
      <c r="F52" s="14" t="n">
        <v>0.9</v>
      </c>
      <c r="G52" s="13" t="inlineStr">
        <is>
          <t>Mohammad Saad Younus</t>
        </is>
      </c>
      <c r="H52" s="13" t="inlineStr"/>
      <c r="I52" s="15" t="inlineStr"/>
    </row>
    <row r="53">
      <c r="A53" s="6" t="inlineStr">
        <is>
          <t>P-49</t>
        </is>
      </c>
      <c r="B53" s="7" t="inlineStr">
        <is>
          <t>HNDL Defense</t>
        </is>
      </c>
      <c r="C53" s="22" t="inlineStr">
        <is>
          <t>Infrastructure</t>
        </is>
      </c>
      <c r="D53" s="7" t="inlineStr">
        <is>
          <t>Cybersecurity</t>
        </is>
      </c>
      <c r="E53" s="9" t="inlineStr">
        <is>
          <t>Active</t>
        </is>
      </c>
      <c r="F53" s="10" t="n">
        <v>0.92</v>
      </c>
      <c r="G53" s="7" t="inlineStr">
        <is>
          <t>Mohammad Saad Younus</t>
        </is>
      </c>
      <c r="H53" s="7" t="inlineStr"/>
      <c r="I53" s="11" t="inlineStr"/>
    </row>
    <row r="54">
      <c r="A54" s="12" t="inlineStr">
        <is>
          <t>P-50</t>
        </is>
      </c>
      <c r="B54" s="13" t="inlineStr">
        <is>
          <t>OpenClaw $1.1M</t>
        </is>
      </c>
      <c r="C54" s="22" t="inlineStr">
        <is>
          <t>Infrastructure</t>
        </is>
      </c>
      <c r="D54" s="13" t="inlineStr">
        <is>
          <t>Blockchain</t>
        </is>
      </c>
      <c r="E54" s="9" t="inlineStr">
        <is>
          <t>Active</t>
        </is>
      </c>
      <c r="F54" s="14" t="n">
        <v>0.78</v>
      </c>
      <c r="G54" s="13" t="inlineStr">
        <is>
          <t>Mohammad Saad Younus</t>
        </is>
      </c>
      <c r="H54" s="13" t="inlineStr"/>
      <c r="I54" s="15" t="inlineStr"/>
    </row>
    <row r="55">
      <c r="A55" s="6" t="inlineStr">
        <is>
          <t>P-51</t>
        </is>
      </c>
      <c r="B55" s="7" t="inlineStr">
        <is>
          <t>Global Diplomacy v3.2</t>
        </is>
      </c>
      <c r="C55" s="22" t="inlineStr">
        <is>
          <t>Infrastructure</t>
        </is>
      </c>
      <c r="D55" s="7" t="inlineStr">
        <is>
          <t>UX</t>
        </is>
      </c>
      <c r="E55" s="9" t="inlineStr">
        <is>
          <t>Active</t>
        </is>
      </c>
      <c r="F55" s="10" t="n">
        <v>0.8</v>
      </c>
      <c r="G55" s="7" t="inlineStr">
        <is>
          <t>Mohammad Saad Younus</t>
        </is>
      </c>
      <c r="H55" s="7" t="inlineStr"/>
      <c r="I55" s="11" t="inlineStr"/>
    </row>
    <row r="56">
      <c r="A56" s="12" t="inlineStr">
        <is>
          <t>P-52</t>
        </is>
      </c>
      <c r="B56" s="13" t="inlineStr">
        <is>
          <t>ENS Interface</t>
        </is>
      </c>
      <c r="C56" s="22" t="inlineStr">
        <is>
          <t>Infrastructure</t>
        </is>
      </c>
      <c r="D56" s="13" t="inlineStr">
        <is>
          <t>IoT</t>
        </is>
      </c>
      <c r="E56" s="9" t="inlineStr">
        <is>
          <t>Active</t>
        </is>
      </c>
      <c r="F56" s="14" t="n">
        <v>0.75</v>
      </c>
      <c r="G56" s="13" t="inlineStr">
        <is>
          <t>Mohammad Saad Younus</t>
        </is>
      </c>
      <c r="H56" s="13" t="inlineStr"/>
      <c r="I56" s="15" t="inlineStr"/>
    </row>
    <row r="57">
      <c r="A57" s="6" t="inlineStr">
        <is>
          <t>P-53</t>
        </is>
      </c>
      <c r="B57" s="7" t="inlineStr">
        <is>
          <t>Standby-01</t>
        </is>
      </c>
      <c r="C57" s="23" t="inlineStr">
        <is>
          <t>Standby</t>
        </is>
      </c>
      <c r="D57" s="7" t="inlineStr">
        <is>
          <t>Unassigned</t>
        </is>
      </c>
      <c r="E57" s="24" t="inlineStr">
        <is>
          <t>Standby</t>
        </is>
      </c>
      <c r="F57" s="10" t="n">
        <v>0</v>
      </c>
      <c r="G57" s="7" t="inlineStr">
        <is>
          <t>Mohammad Saad Younus</t>
        </is>
      </c>
      <c r="H57" s="7" t="inlineStr"/>
      <c r="I57" s="11" t="inlineStr"/>
    </row>
    <row r="58">
      <c r="A58" s="12" t="inlineStr">
        <is>
          <t>P-54</t>
        </is>
      </c>
      <c r="B58" s="13" t="inlineStr">
        <is>
          <t>Standby-02</t>
        </is>
      </c>
      <c r="C58" s="23" t="inlineStr">
        <is>
          <t>Standby</t>
        </is>
      </c>
      <c r="D58" s="13" t="inlineStr">
        <is>
          <t>Unassigned</t>
        </is>
      </c>
      <c r="E58" s="24" t="inlineStr">
        <is>
          <t>Standby</t>
        </is>
      </c>
      <c r="F58" s="14" t="n">
        <v>0</v>
      </c>
      <c r="G58" s="13" t="inlineStr">
        <is>
          <t>Mohammad Saad Younus</t>
        </is>
      </c>
      <c r="H58" s="13" t="inlineStr"/>
      <c r="I58" s="15" t="inlineStr"/>
    </row>
    <row r="59">
      <c r="A59" s="6" t="inlineStr">
        <is>
          <t>P-55</t>
        </is>
      </c>
      <c r="B59" s="7" t="inlineStr">
        <is>
          <t>Standby-03</t>
        </is>
      </c>
      <c r="C59" s="23" t="inlineStr">
        <is>
          <t>Standby</t>
        </is>
      </c>
      <c r="D59" s="7" t="inlineStr">
        <is>
          <t>Unassigned</t>
        </is>
      </c>
      <c r="E59" s="24" t="inlineStr">
        <is>
          <t>Standby</t>
        </is>
      </c>
      <c r="F59" s="10" t="n">
        <v>0</v>
      </c>
      <c r="G59" s="7" t="inlineStr">
        <is>
          <t>Mohammad Saad Younus</t>
        </is>
      </c>
      <c r="H59" s="7" t="inlineStr"/>
      <c r="I59" s="11" t="inlineStr"/>
    </row>
    <row r="60">
      <c r="A60" s="12" t="inlineStr">
        <is>
          <t>P-56</t>
        </is>
      </c>
      <c r="B60" s="13" t="inlineStr">
        <is>
          <t>Standby-04</t>
        </is>
      </c>
      <c r="C60" s="23" t="inlineStr">
        <is>
          <t>Standby</t>
        </is>
      </c>
      <c r="D60" s="13" t="inlineStr">
        <is>
          <t>Unassigned</t>
        </is>
      </c>
      <c r="E60" s="24" t="inlineStr">
        <is>
          <t>Standby</t>
        </is>
      </c>
      <c r="F60" s="14" t="n">
        <v>0</v>
      </c>
      <c r="G60" s="13" t="inlineStr">
        <is>
          <t>Mohammad Saad Younus</t>
        </is>
      </c>
      <c r="H60" s="13" t="inlineStr"/>
      <c r="I60" s="15" t="inlineStr"/>
    </row>
    <row r="61">
      <c r="A61" s="6" t="inlineStr">
        <is>
          <t>P-57</t>
        </is>
      </c>
      <c r="B61" s="7" t="inlineStr">
        <is>
          <t>Standby-05</t>
        </is>
      </c>
      <c r="C61" s="23" t="inlineStr">
        <is>
          <t>Standby</t>
        </is>
      </c>
      <c r="D61" s="7" t="inlineStr">
        <is>
          <t>Unassigned</t>
        </is>
      </c>
      <c r="E61" s="24" t="inlineStr">
        <is>
          <t>Standby</t>
        </is>
      </c>
      <c r="F61" s="10" t="n">
        <v>0</v>
      </c>
      <c r="G61" s="7" t="inlineStr">
        <is>
          <t>Mohammad Saad Younus</t>
        </is>
      </c>
      <c r="H61" s="7" t="inlineStr"/>
      <c r="I61" s="11" t="inlineStr"/>
    </row>
    <row r="62">
      <c r="A62" s="12" t="inlineStr">
        <is>
          <t>P-58</t>
        </is>
      </c>
      <c r="B62" s="13" t="inlineStr">
        <is>
          <t>Standby-06</t>
        </is>
      </c>
      <c r="C62" s="23" t="inlineStr">
        <is>
          <t>Standby</t>
        </is>
      </c>
      <c r="D62" s="13" t="inlineStr">
        <is>
          <t>Unassigned</t>
        </is>
      </c>
      <c r="E62" s="24" t="inlineStr">
        <is>
          <t>Standby</t>
        </is>
      </c>
      <c r="F62" s="14" t="n">
        <v>0</v>
      </c>
      <c r="G62" s="13" t="inlineStr">
        <is>
          <t>Mohammad Saad Younus</t>
        </is>
      </c>
      <c r="H62" s="13" t="inlineStr"/>
      <c r="I62" s="15" t="inlineStr"/>
    </row>
    <row r="63">
      <c r="A63" s="6" t="inlineStr">
        <is>
          <t>P-59</t>
        </is>
      </c>
      <c r="B63" s="7" t="inlineStr">
        <is>
          <t>Standby-07</t>
        </is>
      </c>
      <c r="C63" s="23" t="inlineStr">
        <is>
          <t>Standby</t>
        </is>
      </c>
      <c r="D63" s="7" t="inlineStr">
        <is>
          <t>Unassigned</t>
        </is>
      </c>
      <c r="E63" s="24" t="inlineStr">
        <is>
          <t>Standby</t>
        </is>
      </c>
      <c r="F63" s="10" t="n">
        <v>0</v>
      </c>
      <c r="G63" s="7" t="inlineStr">
        <is>
          <t>Mohammad Saad Younus</t>
        </is>
      </c>
      <c r="H63" s="7" t="inlineStr"/>
      <c r="I63" s="11" t="inlineStr"/>
    </row>
    <row r="64">
      <c r="A64" s="12" t="inlineStr">
        <is>
          <t>P-60</t>
        </is>
      </c>
      <c r="B64" s="13" t="inlineStr">
        <is>
          <t>Standby-08</t>
        </is>
      </c>
      <c r="C64" s="23" t="inlineStr">
        <is>
          <t>Standby</t>
        </is>
      </c>
      <c r="D64" s="13" t="inlineStr">
        <is>
          <t>Unassigned</t>
        </is>
      </c>
      <c r="E64" s="24" t="inlineStr">
        <is>
          <t>Standby</t>
        </is>
      </c>
      <c r="F64" s="14" t="n">
        <v>0</v>
      </c>
      <c r="G64" s="13" t="inlineStr">
        <is>
          <t>Mohammad Saad Younus</t>
        </is>
      </c>
      <c r="H64" s="13" t="inlineStr"/>
      <c r="I64" s="15" t="inlineStr"/>
    </row>
    <row r="65">
      <c r="A65" s="6" t="inlineStr">
        <is>
          <t>P-61</t>
        </is>
      </c>
      <c r="B65" s="7" t="inlineStr">
        <is>
          <t>Standby-09</t>
        </is>
      </c>
      <c r="C65" s="23" t="inlineStr">
        <is>
          <t>Standby</t>
        </is>
      </c>
      <c r="D65" s="7" t="inlineStr">
        <is>
          <t>Unassigned</t>
        </is>
      </c>
      <c r="E65" s="24" t="inlineStr">
        <is>
          <t>Standby</t>
        </is>
      </c>
      <c r="F65" s="10" t="n">
        <v>0</v>
      </c>
      <c r="G65" s="7" t="inlineStr">
        <is>
          <t>Mohammad Saad Younus</t>
        </is>
      </c>
      <c r="H65" s="7" t="inlineStr"/>
      <c r="I65" s="11" t="inlineStr"/>
    </row>
    <row r="66">
      <c r="A66" s="12" t="inlineStr">
        <is>
          <t>P-62</t>
        </is>
      </c>
      <c r="B66" s="13" t="inlineStr">
        <is>
          <t>Standby-10</t>
        </is>
      </c>
      <c r="C66" s="23" t="inlineStr">
        <is>
          <t>Standby</t>
        </is>
      </c>
      <c r="D66" s="13" t="inlineStr">
        <is>
          <t>Unassigned</t>
        </is>
      </c>
      <c r="E66" s="24" t="inlineStr">
        <is>
          <t>Standby</t>
        </is>
      </c>
      <c r="F66" s="14" t="n">
        <v>0</v>
      </c>
      <c r="G66" s="13" t="inlineStr">
        <is>
          <t>Mohammad Saad Younus</t>
        </is>
      </c>
      <c r="H66" s="13" t="inlineStr"/>
      <c r="I66" s="15" t="inlineStr"/>
    </row>
    <row r="67">
      <c r="A67" s="6" t="inlineStr">
        <is>
          <t>P-63</t>
        </is>
      </c>
      <c r="B67" s="7" t="inlineStr">
        <is>
          <t>Standby-11</t>
        </is>
      </c>
      <c r="C67" s="23" t="inlineStr">
        <is>
          <t>Standby</t>
        </is>
      </c>
      <c r="D67" s="7" t="inlineStr">
        <is>
          <t>Unassigned</t>
        </is>
      </c>
      <c r="E67" s="24" t="inlineStr">
        <is>
          <t>Standby</t>
        </is>
      </c>
      <c r="F67" s="10" t="n">
        <v>0</v>
      </c>
      <c r="G67" s="7" t="inlineStr">
        <is>
          <t>Mohammad Saad Younus</t>
        </is>
      </c>
      <c r="H67" s="7" t="inlineStr"/>
      <c r="I67" s="11" t="inlineStr"/>
    </row>
    <row r="68">
      <c r="A68" s="12" t="inlineStr">
        <is>
          <t>P-64</t>
        </is>
      </c>
      <c r="B68" s="13" t="inlineStr">
        <is>
          <t>Standby-12</t>
        </is>
      </c>
      <c r="C68" s="23" t="inlineStr">
        <is>
          <t>Standby</t>
        </is>
      </c>
      <c r="D68" s="13" t="inlineStr">
        <is>
          <t>Unassigned</t>
        </is>
      </c>
      <c r="E68" s="24" t="inlineStr">
        <is>
          <t>Standby</t>
        </is>
      </c>
      <c r="F68" s="14" t="n">
        <v>0</v>
      </c>
      <c r="G68" s="13" t="inlineStr">
        <is>
          <t>Mohammad Saad Younus</t>
        </is>
      </c>
      <c r="H68" s="13" t="inlineStr"/>
      <c r="I68" s="15" t="inlineStr"/>
    </row>
    <row r="69">
      <c r="A69" s="6" t="inlineStr">
        <is>
          <t>P-65</t>
        </is>
      </c>
      <c r="B69" s="7" t="inlineStr">
        <is>
          <t>Standby-13</t>
        </is>
      </c>
      <c r="C69" s="23" t="inlineStr">
        <is>
          <t>Standby</t>
        </is>
      </c>
      <c r="D69" s="7" t="inlineStr">
        <is>
          <t>Unassigned</t>
        </is>
      </c>
      <c r="E69" s="24" t="inlineStr">
        <is>
          <t>Standby</t>
        </is>
      </c>
      <c r="F69" s="10" t="n">
        <v>0</v>
      </c>
      <c r="G69" s="7" t="inlineStr">
        <is>
          <t>Mohammad Saad Younus</t>
        </is>
      </c>
      <c r="H69" s="7" t="inlineStr"/>
      <c r="I69" s="11" t="inlineStr"/>
    </row>
    <row r="70">
      <c r="A70" s="12" t="inlineStr">
        <is>
          <t>P-66</t>
        </is>
      </c>
      <c r="B70" s="13" t="inlineStr">
        <is>
          <t>Standby-14</t>
        </is>
      </c>
      <c r="C70" s="23" t="inlineStr">
        <is>
          <t>Standby</t>
        </is>
      </c>
      <c r="D70" s="13" t="inlineStr">
        <is>
          <t>Unassigned</t>
        </is>
      </c>
      <c r="E70" s="24" t="inlineStr">
        <is>
          <t>Standby</t>
        </is>
      </c>
      <c r="F70" s="14" t="n">
        <v>0</v>
      </c>
      <c r="G70" s="13" t="inlineStr">
        <is>
          <t>Mohammad Saad Younus</t>
        </is>
      </c>
      <c r="H70" s="13" t="inlineStr"/>
      <c r="I70" s="15" t="inlineStr"/>
    </row>
    <row r="71">
      <c r="A71" s="6" t="inlineStr">
        <is>
          <t>P-67</t>
        </is>
      </c>
      <c r="B71" s="7" t="inlineStr">
        <is>
          <t>Standby-15</t>
        </is>
      </c>
      <c r="C71" s="23" t="inlineStr">
        <is>
          <t>Standby</t>
        </is>
      </c>
      <c r="D71" s="7" t="inlineStr">
        <is>
          <t>Unassigned</t>
        </is>
      </c>
      <c r="E71" s="24" t="inlineStr">
        <is>
          <t>Standby</t>
        </is>
      </c>
      <c r="F71" s="10" t="n">
        <v>0</v>
      </c>
      <c r="G71" s="7" t="inlineStr">
        <is>
          <t>Mohammad Saad Younus</t>
        </is>
      </c>
      <c r="H71" s="7" t="inlineStr"/>
      <c r="I71" s="11" t="inlineStr"/>
    </row>
    <row r="72">
      <c r="A72" s="12" t="inlineStr">
        <is>
          <t>P-68</t>
        </is>
      </c>
      <c r="B72" s="13" t="inlineStr">
        <is>
          <t>Standby-16</t>
        </is>
      </c>
      <c r="C72" s="23" t="inlineStr">
        <is>
          <t>Standby</t>
        </is>
      </c>
      <c r="D72" s="13" t="inlineStr">
        <is>
          <t>Unassigned</t>
        </is>
      </c>
      <c r="E72" s="24" t="inlineStr">
        <is>
          <t>Standby</t>
        </is>
      </c>
      <c r="F72" s="14" t="n">
        <v>0</v>
      </c>
      <c r="G72" s="13" t="inlineStr">
        <is>
          <t>Mohammad Saad Younus</t>
        </is>
      </c>
      <c r="H72" s="13" t="inlineStr"/>
      <c r="I72" s="15" t="inlineStr"/>
    </row>
    <row r="73">
      <c r="A73" s="6" t="inlineStr">
        <is>
          <t>P-69</t>
        </is>
      </c>
      <c r="B73" s="7" t="inlineStr">
        <is>
          <t>Standby-17</t>
        </is>
      </c>
      <c r="C73" s="23" t="inlineStr">
        <is>
          <t>Standby</t>
        </is>
      </c>
      <c r="D73" s="7" t="inlineStr">
        <is>
          <t>Unassigned</t>
        </is>
      </c>
      <c r="E73" s="24" t="inlineStr">
        <is>
          <t>Standby</t>
        </is>
      </c>
      <c r="F73" s="10" t="n">
        <v>0</v>
      </c>
      <c r="G73" s="7" t="inlineStr">
        <is>
          <t>Mohammad Saad Younus</t>
        </is>
      </c>
      <c r="H73" s="7" t="inlineStr"/>
      <c r="I73" s="11" t="inlineStr"/>
    </row>
    <row r="74">
      <c r="A74" s="12" t="inlineStr">
        <is>
          <t>P-70</t>
        </is>
      </c>
      <c r="B74" s="13" t="inlineStr">
        <is>
          <t>Standby-18</t>
        </is>
      </c>
      <c r="C74" s="23" t="inlineStr">
        <is>
          <t>Standby</t>
        </is>
      </c>
      <c r="D74" s="13" t="inlineStr">
        <is>
          <t>Unassigned</t>
        </is>
      </c>
      <c r="E74" s="24" t="inlineStr">
        <is>
          <t>Standby</t>
        </is>
      </c>
      <c r="F74" s="14" t="n">
        <v>0</v>
      </c>
      <c r="G74" s="13" t="inlineStr">
        <is>
          <t>Mohammad Saad Younus</t>
        </is>
      </c>
      <c r="H74" s="13" t="inlineStr"/>
      <c r="I74" s="15" t="inlineStr"/>
    </row>
    <row r="75">
      <c r="A75" s="6" t="inlineStr">
        <is>
          <t>P-71</t>
        </is>
      </c>
      <c r="B75" s="7" t="inlineStr">
        <is>
          <t>Standby-19</t>
        </is>
      </c>
      <c r="C75" s="23" t="inlineStr">
        <is>
          <t>Standby</t>
        </is>
      </c>
      <c r="D75" s="7" t="inlineStr">
        <is>
          <t>Unassigned</t>
        </is>
      </c>
      <c r="E75" s="24" t="inlineStr">
        <is>
          <t>Standby</t>
        </is>
      </c>
      <c r="F75" s="10" t="n">
        <v>0</v>
      </c>
      <c r="G75" s="7" t="inlineStr">
        <is>
          <t>Mohammad Saad Younus</t>
        </is>
      </c>
      <c r="H75" s="7" t="inlineStr"/>
      <c r="I75" s="11" t="inlineStr"/>
    </row>
    <row r="76">
      <c r="A76" s="12" t="inlineStr">
        <is>
          <t>P-72</t>
        </is>
      </c>
      <c r="B76" s="13" t="inlineStr">
        <is>
          <t>Standby-20</t>
        </is>
      </c>
      <c r="C76" s="23" t="inlineStr">
        <is>
          <t>Standby</t>
        </is>
      </c>
      <c r="D76" s="13" t="inlineStr">
        <is>
          <t>Unassigned</t>
        </is>
      </c>
      <c r="E76" s="24" t="inlineStr">
        <is>
          <t>Standby</t>
        </is>
      </c>
      <c r="F76" s="14" t="n">
        <v>0</v>
      </c>
      <c r="G76" s="13" t="inlineStr">
        <is>
          <t>Mohammad Saad Younus</t>
        </is>
      </c>
      <c r="H76" s="13" t="inlineStr"/>
      <c r="I76" s="15" t="inlineStr"/>
    </row>
    <row r="77">
      <c r="A77" s="6" t="inlineStr">
        <is>
          <t>P-73</t>
        </is>
      </c>
      <c r="B77" s="7" t="inlineStr">
        <is>
          <t>Standby-21</t>
        </is>
      </c>
      <c r="C77" s="23" t="inlineStr">
        <is>
          <t>Standby</t>
        </is>
      </c>
      <c r="D77" s="7" t="inlineStr">
        <is>
          <t>Unassigned</t>
        </is>
      </c>
      <c r="E77" s="24" t="inlineStr">
        <is>
          <t>Standby</t>
        </is>
      </c>
      <c r="F77" s="10" t="n">
        <v>0</v>
      </c>
      <c r="G77" s="7" t="inlineStr">
        <is>
          <t>Mohammad Saad Younus</t>
        </is>
      </c>
      <c r="H77" s="7" t="inlineStr"/>
      <c r="I77" s="11" t="inlineStr"/>
    </row>
    <row r="78">
      <c r="A78" s="12" t="inlineStr">
        <is>
          <t>P-74</t>
        </is>
      </c>
      <c r="B78" s="13" t="inlineStr">
        <is>
          <t>Standby-22</t>
        </is>
      </c>
      <c r="C78" s="23" t="inlineStr">
        <is>
          <t>Standby</t>
        </is>
      </c>
      <c r="D78" s="13" t="inlineStr">
        <is>
          <t>Unassigned</t>
        </is>
      </c>
      <c r="E78" s="24" t="inlineStr">
        <is>
          <t>Standby</t>
        </is>
      </c>
      <c r="F78" s="14" t="n">
        <v>0</v>
      </c>
      <c r="G78" s="13" t="inlineStr">
        <is>
          <t>Mohammad Saad Younus</t>
        </is>
      </c>
      <c r="H78" s="13" t="inlineStr"/>
      <c r="I78" s="15" t="inlineStr"/>
    </row>
    <row r="79">
      <c r="A79" s="6" t="inlineStr">
        <is>
          <t>P-75</t>
        </is>
      </c>
      <c r="B79" s="7" t="inlineStr">
        <is>
          <t>Standby-23</t>
        </is>
      </c>
      <c r="C79" s="23" t="inlineStr">
        <is>
          <t>Standby</t>
        </is>
      </c>
      <c r="D79" s="7" t="inlineStr">
        <is>
          <t>Unassigned</t>
        </is>
      </c>
      <c r="E79" s="24" t="inlineStr">
        <is>
          <t>Standby</t>
        </is>
      </c>
      <c r="F79" s="10" t="n">
        <v>0</v>
      </c>
      <c r="G79" s="7" t="inlineStr">
        <is>
          <t>Mohammad Saad Younus</t>
        </is>
      </c>
      <c r="H79" s="7" t="inlineStr"/>
      <c r="I79" s="11" t="inlineStr"/>
    </row>
    <row r="80">
      <c r="A80" s="12" t="inlineStr">
        <is>
          <t>P-76</t>
        </is>
      </c>
      <c r="B80" s="13" t="inlineStr">
        <is>
          <t>Standby-24</t>
        </is>
      </c>
      <c r="C80" s="23" t="inlineStr">
        <is>
          <t>Standby</t>
        </is>
      </c>
      <c r="D80" s="13" t="inlineStr">
        <is>
          <t>Unassigned</t>
        </is>
      </c>
      <c r="E80" s="24" t="inlineStr">
        <is>
          <t>Standby</t>
        </is>
      </c>
      <c r="F80" s="14" t="n">
        <v>0</v>
      </c>
      <c r="G80" s="13" t="inlineStr">
        <is>
          <t>Mohammad Saad Younus</t>
        </is>
      </c>
      <c r="H80" s="13" t="inlineStr"/>
      <c r="I80" s="15" t="inlineStr"/>
    </row>
    <row r="81">
      <c r="A81" s="6" t="inlineStr">
        <is>
          <t>P-77</t>
        </is>
      </c>
      <c r="B81" s="7" t="inlineStr">
        <is>
          <t>Standby-25</t>
        </is>
      </c>
      <c r="C81" s="23" t="inlineStr">
        <is>
          <t>Standby</t>
        </is>
      </c>
      <c r="D81" s="7" t="inlineStr">
        <is>
          <t>Unassigned</t>
        </is>
      </c>
      <c r="E81" s="24" t="inlineStr">
        <is>
          <t>Standby</t>
        </is>
      </c>
      <c r="F81" s="10" t="n">
        <v>0</v>
      </c>
      <c r="G81" s="7" t="inlineStr">
        <is>
          <t>Mohammad Saad Younus</t>
        </is>
      </c>
      <c r="H81" s="7" t="inlineStr"/>
      <c r="I81" s="11" t="inlineStr"/>
    </row>
    <row r="82">
      <c r="A82" s="12" t="inlineStr">
        <is>
          <t>P-78</t>
        </is>
      </c>
      <c r="B82" s="13" t="inlineStr">
        <is>
          <t>Standby-26</t>
        </is>
      </c>
      <c r="C82" s="23" t="inlineStr">
        <is>
          <t>Standby</t>
        </is>
      </c>
      <c r="D82" s="13" t="inlineStr">
        <is>
          <t>Unassigned</t>
        </is>
      </c>
      <c r="E82" s="24" t="inlineStr">
        <is>
          <t>Standby</t>
        </is>
      </c>
      <c r="F82" s="14" t="n">
        <v>0</v>
      </c>
      <c r="G82" s="13" t="inlineStr">
        <is>
          <t>Mohammad Saad Younus</t>
        </is>
      </c>
      <c r="H82" s="13" t="inlineStr"/>
      <c r="I82" s="15" t="inlineStr"/>
    </row>
    <row r="83">
      <c r="A83" s="6" t="inlineStr">
        <is>
          <t>P-79</t>
        </is>
      </c>
      <c r="B83" s="7" t="inlineStr">
        <is>
          <t>Standby-27</t>
        </is>
      </c>
      <c r="C83" s="23" t="inlineStr">
        <is>
          <t>Standby</t>
        </is>
      </c>
      <c r="D83" s="7" t="inlineStr">
        <is>
          <t>Unassigned</t>
        </is>
      </c>
      <c r="E83" s="24" t="inlineStr">
        <is>
          <t>Standby</t>
        </is>
      </c>
      <c r="F83" s="10" t="n">
        <v>0</v>
      </c>
      <c r="G83" s="7" t="inlineStr">
        <is>
          <t>Mohammad Saad Younus</t>
        </is>
      </c>
      <c r="H83" s="7" t="inlineStr"/>
      <c r="I83" s="11" t="inlineStr"/>
    </row>
    <row r="84">
      <c r="A84" s="12" t="inlineStr">
        <is>
          <t>P-80</t>
        </is>
      </c>
      <c r="B84" s="13" t="inlineStr">
        <is>
          <t>Standby-28</t>
        </is>
      </c>
      <c r="C84" s="23" t="inlineStr">
        <is>
          <t>Standby</t>
        </is>
      </c>
      <c r="D84" s="13" t="inlineStr">
        <is>
          <t>Unassigned</t>
        </is>
      </c>
      <c r="E84" s="24" t="inlineStr">
        <is>
          <t>Standby</t>
        </is>
      </c>
      <c r="F84" s="14" t="n">
        <v>0</v>
      </c>
      <c r="G84" s="13" t="inlineStr">
        <is>
          <t>Mohammad Saad Younus</t>
        </is>
      </c>
      <c r="H84" s="13" t="inlineStr"/>
      <c r="I84" s="15" t="inlineStr"/>
    </row>
    <row r="85">
      <c r="A85" s="6" t="inlineStr">
        <is>
          <t>P-81</t>
        </is>
      </c>
      <c r="B85" s="7" t="inlineStr">
        <is>
          <t>Standby-29</t>
        </is>
      </c>
      <c r="C85" s="23" t="inlineStr">
        <is>
          <t>Standby</t>
        </is>
      </c>
      <c r="D85" s="7" t="inlineStr">
        <is>
          <t>Unassigned</t>
        </is>
      </c>
      <c r="E85" s="24" t="inlineStr">
        <is>
          <t>Standby</t>
        </is>
      </c>
      <c r="F85" s="10" t="n">
        <v>0</v>
      </c>
      <c r="G85" s="7" t="inlineStr">
        <is>
          <t>Mohammad Saad Younus</t>
        </is>
      </c>
      <c r="H85" s="7" t="inlineStr"/>
      <c r="I85" s="11" t="inlineStr"/>
    </row>
    <row r="86">
      <c r="A86" s="12" t="inlineStr">
        <is>
          <t>P-82</t>
        </is>
      </c>
      <c r="B86" s="13" t="inlineStr">
        <is>
          <t>Standby-30</t>
        </is>
      </c>
      <c r="C86" s="23" t="inlineStr">
        <is>
          <t>Standby</t>
        </is>
      </c>
      <c r="D86" s="13" t="inlineStr">
        <is>
          <t>Unassigned</t>
        </is>
      </c>
      <c r="E86" s="24" t="inlineStr">
        <is>
          <t>Standby</t>
        </is>
      </c>
      <c r="F86" s="14" t="n">
        <v>0</v>
      </c>
      <c r="G86" s="13" t="inlineStr">
        <is>
          <t>Mohammad Saad Younus</t>
        </is>
      </c>
      <c r="H86" s="13" t="inlineStr"/>
      <c r="I86" s="15" t="inlineStr"/>
    </row>
    <row r="87">
      <c r="A87" s="6" t="inlineStr">
        <is>
          <t>P-83</t>
        </is>
      </c>
      <c r="B87" s="7" t="inlineStr">
        <is>
          <t>Standby-31</t>
        </is>
      </c>
      <c r="C87" s="23" t="inlineStr">
        <is>
          <t>Standby</t>
        </is>
      </c>
      <c r="D87" s="7" t="inlineStr">
        <is>
          <t>Unassigned</t>
        </is>
      </c>
      <c r="E87" s="24" t="inlineStr">
        <is>
          <t>Standby</t>
        </is>
      </c>
      <c r="F87" s="10" t="n">
        <v>0</v>
      </c>
      <c r="G87" s="7" t="inlineStr">
        <is>
          <t>Mohammad Saad Younus</t>
        </is>
      </c>
      <c r="H87" s="7" t="inlineStr"/>
      <c r="I87" s="11" t="inlineStr"/>
    </row>
    <row r="88">
      <c r="A88" s="12" t="inlineStr">
        <is>
          <t>P-84</t>
        </is>
      </c>
      <c r="B88" s="13" t="inlineStr">
        <is>
          <t>Standby-32</t>
        </is>
      </c>
      <c r="C88" s="23" t="inlineStr">
        <is>
          <t>Standby</t>
        </is>
      </c>
      <c r="D88" s="13" t="inlineStr">
        <is>
          <t>Unassigned</t>
        </is>
      </c>
      <c r="E88" s="24" t="inlineStr">
        <is>
          <t>Standby</t>
        </is>
      </c>
      <c r="F88" s="14" t="n">
        <v>0</v>
      </c>
      <c r="G88" s="13" t="inlineStr">
        <is>
          <t>Mohammad Saad Younus</t>
        </is>
      </c>
      <c r="H88" s="13" t="inlineStr"/>
      <c r="I88" s="15" t="inlineStr"/>
    </row>
    <row r="89">
      <c r="A89" s="6" t="inlineStr">
        <is>
          <t>P-85</t>
        </is>
      </c>
      <c r="B89" s="7" t="inlineStr">
        <is>
          <t>Standby-33</t>
        </is>
      </c>
      <c r="C89" s="23" t="inlineStr">
        <is>
          <t>Standby</t>
        </is>
      </c>
      <c r="D89" s="7" t="inlineStr">
        <is>
          <t>Unassigned</t>
        </is>
      </c>
      <c r="E89" s="24" t="inlineStr">
        <is>
          <t>Standby</t>
        </is>
      </c>
      <c r="F89" s="10" t="n">
        <v>0</v>
      </c>
      <c r="G89" s="7" t="inlineStr">
        <is>
          <t>Mohammad Saad Younus</t>
        </is>
      </c>
      <c r="H89" s="7" t="inlineStr"/>
      <c r="I89" s="11" t="inlineStr"/>
    </row>
    <row r="90">
      <c r="A90" s="12" t="inlineStr">
        <is>
          <t>P-86</t>
        </is>
      </c>
      <c r="B90" s="13" t="inlineStr">
        <is>
          <t>Standby-34</t>
        </is>
      </c>
      <c r="C90" s="23" t="inlineStr">
        <is>
          <t>Standby</t>
        </is>
      </c>
      <c r="D90" s="13" t="inlineStr">
        <is>
          <t>Unassigned</t>
        </is>
      </c>
      <c r="E90" s="24" t="inlineStr">
        <is>
          <t>Standby</t>
        </is>
      </c>
      <c r="F90" s="14" t="n">
        <v>0</v>
      </c>
      <c r="G90" s="13" t="inlineStr">
        <is>
          <t>Mohammad Saad Younus</t>
        </is>
      </c>
      <c r="H90" s="13" t="inlineStr"/>
      <c r="I90" s="15" t="inlineStr"/>
    </row>
    <row r="91">
      <c r="A91" s="6" t="inlineStr">
        <is>
          <t>P-87</t>
        </is>
      </c>
      <c r="B91" s="7" t="inlineStr">
        <is>
          <t>Standby-35</t>
        </is>
      </c>
      <c r="C91" s="23" t="inlineStr">
        <is>
          <t>Standby</t>
        </is>
      </c>
      <c r="D91" s="7" t="inlineStr">
        <is>
          <t>Unassigned</t>
        </is>
      </c>
      <c r="E91" s="24" t="inlineStr">
        <is>
          <t>Standby</t>
        </is>
      </c>
      <c r="F91" s="10" t="n">
        <v>0</v>
      </c>
      <c r="G91" s="7" t="inlineStr">
        <is>
          <t>Mohammad Saad Younus</t>
        </is>
      </c>
      <c r="H91" s="7" t="inlineStr"/>
      <c r="I91" s="11" t="inlineStr"/>
    </row>
    <row r="92">
      <c r="A92" s="12" t="inlineStr">
        <is>
          <t>P-88</t>
        </is>
      </c>
      <c r="B92" s="13" t="inlineStr">
        <is>
          <t>Standby-36</t>
        </is>
      </c>
      <c r="C92" s="23" t="inlineStr">
        <is>
          <t>Standby</t>
        </is>
      </c>
      <c r="D92" s="13" t="inlineStr">
        <is>
          <t>Unassigned</t>
        </is>
      </c>
      <c r="E92" s="24" t="inlineStr">
        <is>
          <t>Standby</t>
        </is>
      </c>
      <c r="F92" s="14" t="n">
        <v>0</v>
      </c>
      <c r="G92" s="13" t="inlineStr">
        <is>
          <t>Mohammad Saad Younus</t>
        </is>
      </c>
      <c r="H92" s="13" t="inlineStr"/>
      <c r="I92" s="15" t="inlineStr"/>
    </row>
    <row r="93">
      <c r="A93" s="6" t="inlineStr">
        <is>
          <t>P-89</t>
        </is>
      </c>
      <c r="B93" s="7" t="inlineStr">
        <is>
          <t>Standby-37</t>
        </is>
      </c>
      <c r="C93" s="23" t="inlineStr">
        <is>
          <t>Standby</t>
        </is>
      </c>
      <c r="D93" s="7" t="inlineStr">
        <is>
          <t>Unassigned</t>
        </is>
      </c>
      <c r="E93" s="24" t="inlineStr">
        <is>
          <t>Standby</t>
        </is>
      </c>
      <c r="F93" s="10" t="n">
        <v>0</v>
      </c>
      <c r="G93" s="7" t="inlineStr">
        <is>
          <t>Mohammad Saad Younus</t>
        </is>
      </c>
      <c r="H93" s="7" t="inlineStr"/>
      <c r="I93" s="11" t="inlineStr"/>
    </row>
    <row r="94">
      <c r="A94" s="12" t="inlineStr">
        <is>
          <t>P-90</t>
        </is>
      </c>
      <c r="B94" s="13" t="inlineStr">
        <is>
          <t>Standby-38</t>
        </is>
      </c>
      <c r="C94" s="23" t="inlineStr">
        <is>
          <t>Standby</t>
        </is>
      </c>
      <c r="D94" s="13" t="inlineStr">
        <is>
          <t>Unassigned</t>
        </is>
      </c>
      <c r="E94" s="24" t="inlineStr">
        <is>
          <t>Standby</t>
        </is>
      </c>
      <c r="F94" s="14" t="n">
        <v>0</v>
      </c>
      <c r="G94" s="13" t="inlineStr">
        <is>
          <t>Mohammad Saad Younus</t>
        </is>
      </c>
      <c r="H94" s="13" t="inlineStr"/>
      <c r="I94" s="15" t="inlineStr"/>
    </row>
    <row r="95">
      <c r="A95" s="6" t="inlineStr">
        <is>
          <t>P-91</t>
        </is>
      </c>
      <c r="B95" s="7" t="inlineStr">
        <is>
          <t>Standby-39</t>
        </is>
      </c>
      <c r="C95" s="23" t="inlineStr">
        <is>
          <t>Standby</t>
        </is>
      </c>
      <c r="D95" s="7" t="inlineStr">
        <is>
          <t>Unassigned</t>
        </is>
      </c>
      <c r="E95" s="24" t="inlineStr">
        <is>
          <t>Standby</t>
        </is>
      </c>
      <c r="F95" s="10" t="n">
        <v>0</v>
      </c>
      <c r="G95" s="7" t="inlineStr">
        <is>
          <t>Mohammad Saad Younus</t>
        </is>
      </c>
      <c r="H95" s="7" t="inlineStr"/>
      <c r="I95" s="11" t="inlineStr"/>
    </row>
    <row r="96">
      <c r="A96" s="12" t="inlineStr">
        <is>
          <t>P-92</t>
        </is>
      </c>
      <c r="B96" s="13" t="inlineStr">
        <is>
          <t>Standby-40</t>
        </is>
      </c>
      <c r="C96" s="23" t="inlineStr">
        <is>
          <t>Standby</t>
        </is>
      </c>
      <c r="D96" s="13" t="inlineStr">
        <is>
          <t>Unassigned</t>
        </is>
      </c>
      <c r="E96" s="24" t="inlineStr">
        <is>
          <t>Standby</t>
        </is>
      </c>
      <c r="F96" s="14" t="n">
        <v>0</v>
      </c>
      <c r="G96" s="13" t="inlineStr">
        <is>
          <t>Mohammad Saad Younus</t>
        </is>
      </c>
      <c r="H96" s="13" t="inlineStr"/>
      <c r="I96" s="15" t="inlineStr"/>
    </row>
    <row r="97">
      <c r="A97" s="6" t="inlineStr">
        <is>
          <t>P-93</t>
        </is>
      </c>
      <c r="B97" s="7" t="inlineStr">
        <is>
          <t>Standby-41</t>
        </is>
      </c>
      <c r="C97" s="23" t="inlineStr">
        <is>
          <t>Standby</t>
        </is>
      </c>
      <c r="D97" s="7" t="inlineStr">
        <is>
          <t>Unassigned</t>
        </is>
      </c>
      <c r="E97" s="24" t="inlineStr">
        <is>
          <t>Standby</t>
        </is>
      </c>
      <c r="F97" s="10" t="n">
        <v>0</v>
      </c>
      <c r="G97" s="7" t="inlineStr">
        <is>
          <t>Mohammad Saad Younus</t>
        </is>
      </c>
      <c r="H97" s="7" t="inlineStr"/>
      <c r="I97" s="11" t="inlineStr"/>
    </row>
    <row r="98">
      <c r="A98" s="12" t="inlineStr">
        <is>
          <t>P-94</t>
        </is>
      </c>
      <c r="B98" s="13" t="inlineStr">
        <is>
          <t>Standby-42</t>
        </is>
      </c>
      <c r="C98" s="23" t="inlineStr">
        <is>
          <t>Standby</t>
        </is>
      </c>
      <c r="D98" s="13" t="inlineStr">
        <is>
          <t>Unassigned</t>
        </is>
      </c>
      <c r="E98" s="24" t="inlineStr">
        <is>
          <t>Standby</t>
        </is>
      </c>
      <c r="F98" s="14" t="n">
        <v>0</v>
      </c>
      <c r="G98" s="13" t="inlineStr">
        <is>
          <t>Mohammad Saad Younus</t>
        </is>
      </c>
      <c r="H98" s="13" t="inlineStr"/>
      <c r="I98" s="15" t="inlineStr"/>
    </row>
    <row r="99">
      <c r="A99" s="6" t="inlineStr">
        <is>
          <t>P-95</t>
        </is>
      </c>
      <c r="B99" s="7" t="inlineStr">
        <is>
          <t>Standby-43</t>
        </is>
      </c>
      <c r="C99" s="23" t="inlineStr">
        <is>
          <t>Standby</t>
        </is>
      </c>
      <c r="D99" s="7" t="inlineStr">
        <is>
          <t>Unassigned</t>
        </is>
      </c>
      <c r="E99" s="24" t="inlineStr">
        <is>
          <t>Standby</t>
        </is>
      </c>
      <c r="F99" s="10" t="n">
        <v>0</v>
      </c>
      <c r="G99" s="7" t="inlineStr">
        <is>
          <t>Mohammad Saad Younus</t>
        </is>
      </c>
      <c r="H99" s="7" t="inlineStr"/>
      <c r="I99" s="11" t="inlineStr"/>
    </row>
    <row r="100">
      <c r="A100" s="25" t="inlineStr">
        <is>
          <t>P-96</t>
        </is>
      </c>
      <c r="B100" s="26" t="inlineStr">
        <is>
          <t>Standby-44</t>
        </is>
      </c>
      <c r="C100" s="27" t="inlineStr">
        <is>
          <t>Standby</t>
        </is>
      </c>
      <c r="D100" s="26" t="inlineStr">
        <is>
          <t>Unassigned</t>
        </is>
      </c>
      <c r="E100" s="28" t="inlineStr">
        <is>
          <t>Standby</t>
        </is>
      </c>
      <c r="F100" s="29" t="n">
        <v>0</v>
      </c>
      <c r="G100" s="26" t="inlineStr">
        <is>
          <t>Mohammad Saad Younus</t>
        </is>
      </c>
      <c r="H100" s="26" t="inlineStr"/>
      <c r="I100" s="30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14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15" customWidth="1" min="11" max="11"/>
    <col width="50" customWidth="1" min="12" max="12"/>
  </cols>
  <sheetData>
    <row r="1" ht="28" customHeight="1">
      <c r="A1" s="31" t="inlineStr">
        <is>
          <t>MFCS Artifact Metrics</t>
        </is>
      </c>
    </row>
    <row r="2"/>
    <row r="3" ht="24" customHeight="1">
      <c r="A3" s="3" t="inlineStr">
        <is>
          <t>Artifact Name</t>
        </is>
      </c>
      <c r="B3" s="4" t="inlineStr">
        <is>
          <t>Type</t>
        </is>
      </c>
      <c r="C3" s="4" t="inlineStr">
        <is>
          <t>Version</t>
        </is>
      </c>
      <c r="D3" s="4" t="inlineStr">
        <is>
          <t>Date</t>
        </is>
      </c>
      <c r="E3" s="4" t="inlineStr">
        <is>
          <t>Completeness %</t>
        </is>
      </c>
      <c r="F3" s="4" t="inlineStr">
        <is>
          <t>Coverage %</t>
        </is>
      </c>
      <c r="G3" s="4" t="inlineStr">
        <is>
          <t>Accuracy %</t>
        </is>
      </c>
      <c r="H3" s="4" t="inlineStr">
        <is>
          <t>Confidence %</t>
        </is>
      </c>
      <c r="I3" s="4" t="inlineStr">
        <is>
          <t>Timeliness</t>
        </is>
      </c>
      <c r="J3" s="4" t="inlineStr">
        <is>
          <t>Adoption Readiness</t>
        </is>
      </c>
      <c r="K3" s="4" t="inlineStr">
        <is>
          <t>Impact Potential</t>
        </is>
      </c>
      <c r="L3" s="5" t="inlineStr">
        <is>
          <t>Change Summary</t>
        </is>
      </c>
    </row>
    <row r="4">
      <c r="A4" s="6" t="inlineStr">
        <is>
          <t>Aris Inheritance Packet</t>
        </is>
      </c>
      <c r="B4" s="7" t="inlineStr">
        <is>
          <t>Document (DOCX)</t>
        </is>
      </c>
      <c r="C4" s="7" t="inlineStr">
        <is>
          <t>v1.0.0</t>
        </is>
      </c>
      <c r="D4" s="32" t="n">
        <v>46129</v>
      </c>
      <c r="E4" s="10" t="n">
        <v>0.95</v>
      </c>
      <c r="F4" s="10" t="n">
        <v>0.9</v>
      </c>
      <c r="G4" s="10" t="n">
        <v>0.98</v>
      </c>
      <c r="H4" s="10" t="n">
        <v>0.95</v>
      </c>
      <c r="I4" s="33" t="inlineStr">
        <is>
          <t>Current</t>
        </is>
      </c>
      <c r="J4" s="7" t="inlineStr">
        <is>
          <t>Ready</t>
        </is>
      </c>
      <c r="K4" s="33" t="inlineStr">
        <is>
          <t>High</t>
        </is>
      </c>
      <c r="L4" s="11" t="inlineStr">
        <is>
          <t>Initial creation with 4 Stations, 3 invariants, SABR engine, 7-step checklist</t>
        </is>
      </c>
    </row>
    <row r="5">
      <c r="A5" s="12" t="inlineStr">
        <is>
          <t>Meridian Watch Dashboard</t>
        </is>
      </c>
      <c r="B5" s="13" t="inlineStr">
        <is>
          <t>Spreadsheet (XLSX)</t>
        </is>
      </c>
      <c r="C5" s="13" t="inlineStr">
        <is>
          <t>v1.0.0</t>
        </is>
      </c>
      <c r="D5" s="34" t="n">
        <v>46129</v>
      </c>
      <c r="E5" s="14" t="n">
        <v>0.85</v>
      </c>
      <c r="F5" s="14" t="n">
        <v>0.8</v>
      </c>
      <c r="G5" s="14" t="n">
        <v>0.92</v>
      </c>
      <c r="H5" s="14" t="n">
        <v>0.9</v>
      </c>
      <c r="I5" s="9" t="inlineStr">
        <is>
          <t>Current</t>
        </is>
      </c>
      <c r="J5" s="13" t="inlineStr">
        <is>
          <t>Partial</t>
        </is>
      </c>
      <c r="K5" s="9" t="inlineStr">
        <is>
          <t>High</t>
        </is>
      </c>
      <c r="L5" s="15" t="inlineStr">
        <is>
          <t>5 sheets: Mission Control, Comms, Registry, Pipeline, Log</t>
        </is>
      </c>
    </row>
    <row r="6">
      <c r="A6" s="6" t="inlineStr">
        <is>
          <t>96 Path Map (this document)</t>
        </is>
      </c>
      <c r="B6" s="7" t="inlineStr">
        <is>
          <t>Document (DOCX)</t>
        </is>
      </c>
      <c r="C6" s="7" t="inlineStr">
        <is>
          <t>v2.0.0</t>
        </is>
      </c>
      <c r="D6" s="32" t="n">
        <v>46129</v>
      </c>
      <c r="E6" s="10" t="n">
        <v>0.92</v>
      </c>
      <c r="F6" s="10" t="n">
        <v>0.95</v>
      </c>
      <c r="G6" s="10" t="n">
        <v>0.95</v>
      </c>
      <c r="H6" s="10" t="n">
        <v>0.93</v>
      </c>
      <c r="I6" s="33" t="inlineStr">
        <is>
          <t>Current</t>
        </is>
      </c>
      <c r="J6" s="7" t="inlineStr">
        <is>
          <t>Ready</t>
        </is>
      </c>
      <c r="K6" s="33" t="inlineStr">
        <is>
          <t>High</t>
        </is>
      </c>
      <c r="L6" s="11" t="inlineStr">
        <is>
          <t>Constructed from all project artifacts; 96 nodes catalogued</t>
        </is>
      </c>
    </row>
    <row r="7">
      <c r="A7" s="12" t="inlineStr">
        <is>
          <t>MFCS TLA+ Specification</t>
        </is>
      </c>
      <c r="B7" s="13" t="inlineStr">
        <is>
          <t>Code (TLA+)</t>
        </is>
      </c>
      <c r="C7" s="13" t="inlineStr">
        <is>
          <t>v1.0.0</t>
        </is>
      </c>
      <c r="D7" s="34" t="n">
        <v>46129</v>
      </c>
      <c r="E7" s="14" t="n">
        <v>0.9</v>
      </c>
      <c r="F7" s="14" t="n">
        <v>0.88</v>
      </c>
      <c r="G7" s="14" t="n">
        <v>0.98</v>
      </c>
      <c r="H7" s="14" t="n">
        <v>0.95</v>
      </c>
      <c r="I7" s="9" t="inlineStr">
        <is>
          <t>Current</t>
        </is>
      </c>
      <c r="J7" s="13" t="inlineStr">
        <is>
          <t>Partial</t>
        </is>
      </c>
      <c r="K7" s="9" t="inlineStr">
        <is>
          <t>High</t>
        </is>
      </c>
      <c r="L7" s="15" t="inlineStr">
        <is>
          <t>42 states verified; 25/25 TLAPS obligations</t>
        </is>
      </c>
    </row>
    <row r="8">
      <c r="A8" s="6" t="inlineStr">
        <is>
          <t>Digital Mirror Package</t>
        </is>
      </c>
      <c r="B8" s="7" t="inlineStr">
        <is>
          <t>Archive (ZIP)</t>
        </is>
      </c>
      <c r="C8" s="7" t="inlineStr">
        <is>
          <t>v0.9.0</t>
        </is>
      </c>
      <c r="D8" s="7" t="inlineStr">
        <is>
          <t>Pending</t>
        </is>
      </c>
      <c r="E8" s="10" t="n">
        <v>0.7</v>
      </c>
      <c r="F8" s="10" t="n">
        <v>0.65</v>
      </c>
      <c r="G8" s="10" t="n">
        <v>0.9</v>
      </c>
      <c r="H8" s="10" t="n">
        <v>0.85</v>
      </c>
      <c r="I8" s="35" t="inlineStr">
        <is>
          <t>Pending</t>
        </is>
      </c>
      <c r="J8" s="7" t="inlineStr">
        <is>
          <t>Planned</t>
        </is>
      </c>
      <c r="K8" s="33" t="inlineStr">
        <is>
          <t>High</t>
        </is>
      </c>
      <c r="L8" s="11" t="inlineStr">
        <is>
          <t>Awaiting verification pass before packaging</t>
        </is>
      </c>
    </row>
    <row r="9">
      <c r="A9" s="12" t="inlineStr">
        <is>
          <t>Vector Visuals</t>
        </is>
      </c>
      <c r="B9" s="13" t="inlineStr">
        <is>
          <t>Images (SVG/PNG)</t>
        </is>
      </c>
      <c r="C9" s="13" t="inlineStr">
        <is>
          <t>v0.9.0</t>
        </is>
      </c>
      <c r="D9" s="13" t="inlineStr">
        <is>
          <t>Pending</t>
        </is>
      </c>
      <c r="E9" s="14" t="n">
        <v>0.6</v>
      </c>
      <c r="F9" s="14" t="n">
        <v>0.55</v>
      </c>
      <c r="G9" s="14" t="n">
        <v>0.85</v>
      </c>
      <c r="H9" s="14" t="n">
        <v>0.8</v>
      </c>
      <c r="I9" s="18" t="inlineStr">
        <is>
          <t>Pending</t>
        </is>
      </c>
      <c r="J9" s="13" t="inlineStr">
        <is>
          <t>Planned</t>
        </is>
      </c>
      <c r="K9" s="18" t="inlineStr">
        <is>
          <t>Medium</t>
        </is>
      </c>
      <c r="L9" s="15" t="inlineStr">
        <is>
          <t>Awaiting package completion</t>
        </is>
      </c>
    </row>
    <row r="10">
      <c r="A10" s="36" t="inlineStr">
        <is>
          <t>CI Pipeline Config</t>
        </is>
      </c>
      <c r="B10" s="37" t="inlineStr">
        <is>
          <t>Config</t>
        </is>
      </c>
      <c r="C10" s="37" t="inlineStr">
        <is>
          <t>v0.0.0</t>
        </is>
      </c>
      <c r="D10" s="37" t="inlineStr">
        <is>
          <t>Planned</t>
        </is>
      </c>
      <c r="E10" s="38" t="n">
        <v>0.1</v>
      </c>
      <c r="F10" s="38" t="n">
        <v>0.1</v>
      </c>
      <c r="G10" s="38" t="inlineStr"/>
      <c r="H10" s="38" t="n">
        <v>0.5</v>
      </c>
      <c r="I10" s="39" t="inlineStr">
        <is>
          <t>Planned</t>
        </is>
      </c>
      <c r="J10" s="37" t="inlineStr">
        <is>
          <t>Planned</t>
        </is>
      </c>
      <c r="K10" s="40" t="inlineStr">
        <is>
          <t>Medium</t>
        </is>
      </c>
      <c r="L10" s="41" t="inlineStr">
        <is>
          <t>n8n or GitHub Actions — not yet started</t>
        </is>
      </c>
    </row>
    <row r="11"/>
    <row r="12">
      <c r="A12" s="42" t="inlineStr">
        <is>
          <t>AVERAGES</t>
        </is>
      </c>
      <c r="E12" s="43">
        <f>AVERAGE(E4:E10)</f>
        <v/>
      </c>
      <c r="F12" s="44">
        <f>AVERAGE(F4:F10)</f>
        <v/>
      </c>
      <c r="G12" s="44">
        <f>AVERAGE(G4:G10)</f>
        <v/>
      </c>
      <c r="H12" s="45">
        <f>AVERAGE(H4:H10)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6" customWidth="1" min="4" max="4"/>
    <col width="50" customWidth="1" min="5" max="5"/>
  </cols>
  <sheetData>
    <row r="1" ht="28" customHeight="1">
      <c r="A1" s="31" t="inlineStr">
        <is>
          <t>MFCS Map-Level Metrics Summary</t>
        </is>
      </c>
    </row>
    <row r="2"/>
    <row r="3">
      <c r="A3" s="46" t="inlineStr">
        <is>
          <t>Metric</t>
        </is>
      </c>
      <c r="B3" s="47" t="inlineStr">
        <is>
          <t>Value</t>
        </is>
      </c>
      <c r="C3" s="47" t="inlineStr">
        <is>
          <t>Target</t>
        </is>
      </c>
      <c r="D3" s="47" t="inlineStr">
        <is>
          <t>Status</t>
        </is>
      </c>
      <c r="E3" s="48" t="inlineStr">
        <is>
          <t>Notes</t>
        </is>
      </c>
    </row>
    <row r="4">
      <c r="A4" s="12" t="inlineStr">
        <is>
          <t>Total Paths</t>
        </is>
      </c>
      <c r="B4" s="13" t="n">
        <v>96</v>
      </c>
      <c r="C4" s="13" t="n">
        <v>96</v>
      </c>
      <c r="D4" s="49" t="inlineStr">
        <is>
          <t>Met</t>
        </is>
      </c>
      <c r="E4" s="15" t="inlineStr">
        <is>
          <t>Full lattice defined</t>
        </is>
      </c>
    </row>
    <row r="5">
      <c r="A5" s="6" t="inlineStr">
        <is>
          <t>Active Paths</t>
        </is>
      </c>
      <c r="B5" s="7" t="n">
        <v>52</v>
      </c>
      <c r="C5" s="7" t="n">
        <v>96</v>
      </c>
      <c r="D5" s="50" t="inlineStr">
        <is>
          <t>In Progress</t>
        </is>
      </c>
      <c r="E5" s="11" t="inlineStr">
        <is>
          <t>54% activation rate</t>
        </is>
      </c>
    </row>
    <row r="6">
      <c r="A6" s="12" t="inlineStr">
        <is>
          <t>Standby Paths</t>
        </is>
      </c>
      <c r="B6" s="13" t="n">
        <v>44</v>
      </c>
      <c r="C6" s="13" t="n">
        <v>0</v>
      </c>
      <c r="D6" s="51" t="inlineStr">
        <is>
          <t>Gap</t>
        </is>
      </c>
      <c r="E6" s="15" t="inlineStr">
        <is>
          <t>Reserved for expansion</t>
        </is>
      </c>
    </row>
    <row r="7">
      <c r="A7" s="6" t="inlineStr">
        <is>
          <t>Lattice Density</t>
        </is>
      </c>
      <c r="B7" s="7" t="inlineStr">
        <is>
          <t>96/96</t>
        </is>
      </c>
      <c r="C7" s="7" t="inlineStr">
        <is>
          <t>96/96</t>
        </is>
      </c>
      <c r="D7" s="52" t="inlineStr">
        <is>
          <t>Met</t>
        </is>
      </c>
      <c r="E7" s="11" t="inlineStr">
        <is>
          <t>Hardened</t>
        </is>
      </c>
    </row>
    <row r="8">
      <c r="A8" s="12" t="inlineStr">
        <is>
          <t>Mechanized Invariants</t>
        </is>
      </c>
      <c r="B8" s="13" t="inlineStr">
        <is>
          <t>3/3</t>
        </is>
      </c>
      <c r="C8" s="13" t="inlineStr">
        <is>
          <t>3/3</t>
        </is>
      </c>
      <c r="D8" s="49" t="inlineStr">
        <is>
          <t>Met</t>
        </is>
      </c>
      <c r="E8" s="15" t="inlineStr">
        <is>
          <t>ZERO_BLEED + PHASE_CANCELLATION + NOISE_FLOOR</t>
        </is>
      </c>
    </row>
    <row r="9">
      <c r="A9" s="6" t="inlineStr">
        <is>
          <t>TLAPS Obligations</t>
        </is>
      </c>
      <c r="B9" s="7" t="inlineStr">
        <is>
          <t>25/25</t>
        </is>
      </c>
      <c r="C9" s="7" t="inlineStr">
        <is>
          <t>25/25</t>
        </is>
      </c>
      <c r="D9" s="52" t="inlineStr">
        <is>
          <t>Met</t>
        </is>
      </c>
      <c r="E9" s="11" t="inlineStr">
        <is>
          <t>All discharged</t>
        </is>
      </c>
    </row>
    <row r="10">
      <c r="A10" s="12" t="inlineStr">
        <is>
          <t>TLC States Verified</t>
        </is>
      </c>
      <c r="B10" s="13" t="n">
        <v>42</v>
      </c>
      <c r="C10" s="13" t="n">
        <v>42</v>
      </c>
      <c r="D10" s="49" t="inlineStr">
        <is>
          <t>Met</t>
        </is>
      </c>
      <c r="E10" s="15" t="inlineStr">
        <is>
          <t>0 errors 0 deadlocks</t>
        </is>
      </c>
    </row>
    <row r="11">
      <c r="A11" s="6" t="inlineStr">
        <is>
          <t>Telemetry Score</t>
        </is>
      </c>
      <c r="B11" s="7" t="n">
        <v>1</v>
      </c>
      <c r="C11" s="7" t="n">
        <v>1</v>
      </c>
      <c r="D11" s="52" t="inlineStr">
        <is>
          <t>Met</t>
        </is>
      </c>
      <c r="E11" s="11" t="inlineStr"/>
    </row>
    <row r="12">
      <c r="A12" s="12" t="inlineStr">
        <is>
          <t>Avg Confidence (Active)</t>
        </is>
      </c>
      <c r="B12" s="53">
        <f>AVERAGE('96 Path Map Registry'!F5:F56)</f>
        <v/>
      </c>
      <c r="C12" s="14" t="n">
        <v>0.9</v>
      </c>
      <c r="D12" s="13">
        <f>IF(B12&gt;=C12,"Met","Below Target")</f>
        <v/>
      </c>
      <c r="E12" s="15" t="inlineStr"/>
    </row>
    <row r="13">
      <c r="A13" s="6" t="inlineStr">
        <is>
          <t>Domain Coverage</t>
        </is>
      </c>
      <c r="B13" s="7" t="inlineStr">
        <is>
          <t>9/9</t>
        </is>
      </c>
      <c r="C13" s="7" t="inlineStr">
        <is>
          <t>9/9</t>
        </is>
      </c>
      <c r="D13" s="52" t="inlineStr">
        <is>
          <t>Met</t>
        </is>
      </c>
      <c r="E13" s="11" t="inlineStr">
        <is>
          <t>All pillars represented</t>
        </is>
      </c>
    </row>
    <row r="14">
      <c r="A14" s="12" t="inlineStr">
        <is>
          <t>PQC Standards Adopted</t>
        </is>
      </c>
      <c r="B14" s="13" t="inlineStr">
        <is>
          <t>3 (FIPS 203/204/205)</t>
        </is>
      </c>
      <c r="C14" s="13" t="inlineStr">
        <is>
          <t>3</t>
        </is>
      </c>
      <c r="D14" s="49" t="inlineStr">
        <is>
          <t>Met</t>
        </is>
      </c>
      <c r="E14" s="15" t="inlineStr">
        <is>
          <t>Published Aug 2024</t>
        </is>
      </c>
    </row>
    <row r="15">
      <c r="A15" s="36" t="inlineStr">
        <is>
          <t>PQC Migration Target</t>
        </is>
      </c>
      <c r="B15" s="37" t="n">
        <v>2030</v>
      </c>
      <c r="C15" s="37" t="n">
        <v>2035</v>
      </c>
      <c r="D15" s="54" t="inlineStr">
        <is>
          <t>Ahead</t>
        </is>
      </c>
      <c r="E15" s="41" t="inlineStr">
        <is>
          <t>5 years ahead of NIST deadline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4" customWidth="1" min="4" max="4"/>
    <col width="16" customWidth="1" min="5" max="5"/>
    <col width="28" customWidth="1" min="6" max="6"/>
    <col width="14" customWidth="1" min="7" max="7"/>
  </cols>
  <sheetData>
    <row r="1" ht="28" customHeight="1">
      <c r="A1" s="31" t="inlineStr">
        <is>
          <t>MFCS Domain Coverage Analysis</t>
        </is>
      </c>
    </row>
    <row r="2"/>
    <row r="3">
      <c r="A3" s="3" t="inlineStr">
        <is>
          <t>Domain Pillar</t>
        </is>
      </c>
      <c r="B3" s="4" t="inlineStr">
        <is>
          <t>Path Count</t>
        </is>
      </c>
      <c r="C3" s="4" t="inlineStr">
        <is>
          <t>Active Count</t>
        </is>
      </c>
      <c r="D3" s="4" t="inlineStr">
        <is>
          <t>Standby Count</t>
        </is>
      </c>
      <c r="E3" s="4" t="inlineStr">
        <is>
          <t>Avg Confidence</t>
        </is>
      </c>
      <c r="F3" s="4" t="inlineStr">
        <is>
          <t>Top Priority Node</t>
        </is>
      </c>
      <c r="G3" s="5" t="inlineStr">
        <is>
          <t>Coverage %</t>
        </is>
      </c>
    </row>
    <row r="4">
      <c r="A4" s="6" t="inlineStr">
        <is>
          <t>AI</t>
        </is>
      </c>
      <c r="B4" s="7" t="n">
        <v>5</v>
      </c>
      <c r="C4" s="7" t="n">
        <v>5</v>
      </c>
      <c r="D4" s="7" t="n">
        <v>0</v>
      </c>
      <c r="E4" s="55" t="n">
        <v>0.906</v>
      </c>
      <c r="F4" s="7" t="inlineStr">
        <is>
          <t>NEBULA_PRIME</t>
        </is>
      </c>
      <c r="G4" s="56" t="n">
        <v>1</v>
      </c>
    </row>
    <row r="5">
      <c r="A5" s="12" t="inlineStr">
        <is>
          <t>Blockchain</t>
        </is>
      </c>
      <c r="B5" s="13" t="n">
        <v>4</v>
      </c>
      <c r="C5" s="13" t="n">
        <v>4</v>
      </c>
      <c r="D5" s="13" t="n">
        <v>0</v>
      </c>
      <c r="E5" s="53" t="n">
        <v>0.8375</v>
      </c>
      <c r="F5" s="13" t="inlineStr">
        <is>
          <t>Super Seed Geometric</t>
        </is>
      </c>
      <c r="G5" s="56" t="n">
        <v>1</v>
      </c>
    </row>
    <row r="6">
      <c r="A6" s="6" t="inlineStr">
        <is>
          <t>Data Analytics</t>
        </is>
      </c>
      <c r="B6" s="7" t="n">
        <v>6</v>
      </c>
      <c r="C6" s="7" t="n">
        <v>6</v>
      </c>
      <c r="D6" s="7" t="n">
        <v>0</v>
      </c>
      <c r="E6" s="55" t="n">
        <v>0.9</v>
      </c>
      <c r="F6" s="7" t="inlineStr">
        <is>
          <t>Telemetry Snapshot</t>
        </is>
      </c>
      <c r="G6" s="56" t="n">
        <v>1</v>
      </c>
    </row>
    <row r="7">
      <c r="A7" s="12" t="inlineStr">
        <is>
          <t>Cybersecurity</t>
        </is>
      </c>
      <c r="B7" s="13" t="n">
        <v>10</v>
      </c>
      <c r="C7" s="13" t="n">
        <v>10</v>
      </c>
      <c r="D7" s="13" t="n">
        <v>0</v>
      </c>
      <c r="E7" s="53" t="n">
        <v>0.921</v>
      </c>
      <c r="F7" s="13" t="inlineStr">
        <is>
          <t>PQC Layer (FIPS 203/204)</t>
        </is>
      </c>
      <c r="G7" s="56" t="n">
        <v>1</v>
      </c>
    </row>
    <row r="8">
      <c r="A8" s="6" t="inlineStr">
        <is>
          <t>Software Dev</t>
        </is>
      </c>
      <c r="B8" s="7" t="n">
        <v>7</v>
      </c>
      <c r="C8" s="7" t="n">
        <v>7</v>
      </c>
      <c r="D8" s="7" t="n">
        <v>0</v>
      </c>
      <c r="E8" s="55" t="n">
        <v>0.907</v>
      </c>
      <c r="F8" s="7" t="inlineStr">
        <is>
          <t>MFCS Core</t>
        </is>
      </c>
      <c r="G8" s="56" t="n">
        <v>1</v>
      </c>
    </row>
    <row r="9">
      <c r="A9" s="12" t="inlineStr">
        <is>
          <t>Sustainability</t>
        </is>
      </c>
      <c r="B9" s="13" t="n">
        <v>4</v>
      </c>
      <c r="C9" s="13" t="n">
        <v>4</v>
      </c>
      <c r="D9" s="13" t="n">
        <v>0</v>
      </c>
      <c r="E9" s="53" t="n">
        <v>0.92</v>
      </c>
      <c r="F9" s="13" t="inlineStr">
        <is>
          <t>Origin Point</t>
        </is>
      </c>
      <c r="G9" s="56" t="n">
        <v>1</v>
      </c>
    </row>
    <row r="10">
      <c r="A10" s="6" t="inlineStr">
        <is>
          <t>UX</t>
        </is>
      </c>
      <c r="B10" s="7" t="n">
        <v>3</v>
      </c>
      <c r="C10" s="7" t="n">
        <v>3</v>
      </c>
      <c r="D10" s="7" t="n">
        <v>0</v>
      </c>
      <c r="E10" s="55" t="n">
        <v>0.853</v>
      </c>
      <c r="F10" s="7" t="inlineStr">
        <is>
          <t>Seating Ceremony</t>
        </is>
      </c>
      <c r="G10" s="56" t="n">
        <v>1</v>
      </c>
    </row>
    <row r="11">
      <c r="A11" s="12" t="inlineStr">
        <is>
          <t>IoT</t>
        </is>
      </c>
      <c r="B11" s="13" t="n">
        <v>6</v>
      </c>
      <c r="C11" s="13" t="n">
        <v>6</v>
      </c>
      <c r="D11" s="13" t="n">
        <v>0</v>
      </c>
      <c r="E11" s="53" t="n">
        <v>0.845</v>
      </c>
      <c r="F11" s="13" t="inlineStr">
        <is>
          <t>SABR Engine</t>
        </is>
      </c>
      <c r="G11" s="56" t="n">
        <v>1</v>
      </c>
    </row>
    <row r="12">
      <c r="A12" s="6" t="inlineStr">
        <is>
          <t>Cloud Computing</t>
        </is>
      </c>
      <c r="B12" s="7" t="n">
        <v>5</v>
      </c>
      <c r="C12" s="7" t="n">
        <v>5</v>
      </c>
      <c r="D12" s="7" t="n">
        <v>0</v>
      </c>
      <c r="E12" s="55" t="n">
        <v>0.876</v>
      </c>
      <c r="F12" s="7" t="inlineStr">
        <is>
          <t>Meridian Watch Dashboard</t>
        </is>
      </c>
      <c r="G12" s="56" t="n">
        <v>1</v>
      </c>
    </row>
    <row r="13">
      <c r="A13" s="25" t="inlineStr">
        <is>
          <t>Unassigned</t>
        </is>
      </c>
      <c r="B13" s="26" t="n">
        <v>44</v>
      </c>
      <c r="C13" s="26" t="n">
        <v>0</v>
      </c>
      <c r="D13" s="26" t="n">
        <v>44</v>
      </c>
      <c r="E13" s="57" t="inlineStr"/>
      <c r="F13" s="26" t="inlineStr">
        <is>
          <t>N/A</t>
        </is>
      </c>
      <c r="G13" s="58" t="n">
        <v>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6" customWidth="1" min="3" max="3"/>
    <col width="16" customWidth="1" min="4" max="4"/>
    <col width="12" customWidth="1" min="5" max="5"/>
    <col width="14" customWidth="1" min="6" max="6"/>
    <col width="55" customWidth="1" min="7" max="7"/>
  </cols>
  <sheetData>
    <row r="1" ht="28" customHeight="1">
      <c r="A1" s="31" t="inlineStr">
        <is>
          <t>MFCS Source Bibliography</t>
        </is>
      </c>
    </row>
    <row r="2"/>
    <row r="3">
      <c r="A3" s="3" t="inlineStr">
        <is>
          <t>Ref #</t>
        </is>
      </c>
      <c r="B3" s="4" t="inlineStr">
        <is>
          <t>Source Name</t>
        </is>
      </c>
      <c r="C3" s="4" t="inlineStr">
        <is>
          <t>URL</t>
        </is>
      </c>
      <c r="D3" s="4" t="inlineStr">
        <is>
          <t>Date Accessed</t>
        </is>
      </c>
      <c r="E3" s="4" t="inlineStr">
        <is>
          <t>Type</t>
        </is>
      </c>
      <c r="F3" s="4" t="inlineStr">
        <is>
          <t>Confidence %</t>
        </is>
      </c>
      <c r="G3" s="5" t="inlineStr">
        <is>
          <t>Notes</t>
        </is>
      </c>
    </row>
    <row r="4">
      <c r="A4" s="6" t="inlineStr">
        <is>
          <t>[1]</t>
        </is>
      </c>
      <c r="B4" s="7" t="inlineStr">
        <is>
          <t>NIST CSRC Post-Quantum Cryptography</t>
        </is>
      </c>
      <c r="C4" s="59" t="inlineStr">
        <is>
          <t>https://www.nist.gov/pqcrypto</t>
        </is>
      </c>
      <c r="D4" s="32" t="n">
        <v>46129</v>
      </c>
      <c r="E4" s="7" t="inlineStr">
        <is>
          <t>Primary</t>
        </is>
      </c>
      <c r="F4" s="10" t="n">
        <v>0.98</v>
      </c>
      <c r="G4" s="11" t="inlineStr">
        <is>
          <t>FIPS 203/204/205 published Aug 13 2024; HQC Mar 2025; migration 2035</t>
        </is>
      </c>
    </row>
    <row r="5">
      <c r="A5" s="12" t="inlineStr">
        <is>
          <t>[2]</t>
        </is>
      </c>
      <c r="B5" s="13" t="inlineStr">
        <is>
          <t>PQC Standardization 2025 Update</t>
        </is>
      </c>
      <c r="C5" s="60" t="inlineStr">
        <is>
          <t>https://pqcinfo.org</t>
        </is>
      </c>
      <c r="D5" s="34" t="n">
        <v>46129</v>
      </c>
      <c r="E5" s="13" t="inlineStr">
        <is>
          <t>Secondary</t>
        </is>
      </c>
      <c r="F5" s="14" t="n">
        <v>0.95</v>
      </c>
      <c r="G5" s="15" t="inlineStr">
        <is>
          <t>ML-KEM replaces RSA-KEM/ECDH; ML-DSA replaces RSA/ECDSA</t>
        </is>
      </c>
    </row>
    <row r="6">
      <c r="A6" s="6" t="inlineStr">
        <is>
          <t>[3]</t>
        </is>
      </c>
      <c r="B6" s="7" t="inlineStr">
        <is>
          <t>TLA+ Proof System (TLAPS)</t>
        </is>
      </c>
      <c r="C6" s="59" t="inlineStr">
        <is>
          <t>https://proofs.tlaplus.community</t>
        </is>
      </c>
      <c r="D6" s="32" t="n">
        <v>46129</v>
      </c>
      <c r="E6" s="7" t="inlineStr">
        <is>
          <t>Primary</t>
        </is>
      </c>
      <c r="F6" s="10" t="n">
        <v>0.98</v>
      </c>
      <c r="G6" s="11" t="inlineStr">
        <is>
          <t>v1.4.5; MSR-Inria; BSD license; safety property verification</t>
        </is>
      </c>
    </row>
    <row r="7">
      <c r="A7" s="12" t="inlineStr">
        <is>
          <t>[4]</t>
        </is>
      </c>
      <c r="B7" s="13" t="inlineStr">
        <is>
          <t>Apalache Symbolic Model Checker</t>
        </is>
      </c>
      <c r="C7" s="60" t="inlineStr">
        <is>
          <t>https://apalache-mc.github.io</t>
        </is>
      </c>
      <c r="D7" s="34" t="n">
        <v>46129</v>
      </c>
      <c r="E7" s="13" t="inlineStr">
        <is>
          <t>Secondary</t>
        </is>
      </c>
      <c r="F7" s="14" t="n">
        <v>0.9</v>
      </c>
      <c r="G7" s="15" t="inlineStr">
        <is>
          <t>SMT-based TLA+ analysis via Z3</t>
        </is>
      </c>
    </row>
    <row r="8">
      <c r="A8" s="6" t="inlineStr">
        <is>
          <t>[5]</t>
        </is>
      </c>
      <c r="B8" s="7" t="inlineStr">
        <is>
          <t>arXiv:2501.03073 LLM+TLAPS</t>
        </is>
      </c>
      <c r="C8" s="59" t="inlineStr">
        <is>
          <t>https://arxiv.org/abs/2501.03073</t>
        </is>
      </c>
      <c r="D8" s="32" t="n">
        <v>45663</v>
      </c>
      <c r="E8" s="7" t="inlineStr">
        <is>
          <t>Academic</t>
        </is>
      </c>
      <c r="F8" s="10" t="n">
        <v>0.85</v>
      </c>
      <c r="G8" s="11" t="inlineStr">
        <is>
          <t>Retrieval-augmented TLAPS proof generation</t>
        </is>
      </c>
    </row>
    <row r="9">
      <c r="A9" s="25" t="inlineStr">
        <is>
          <t>[6]</t>
        </is>
      </c>
      <c r="B9" s="26" t="inlineStr">
        <is>
          <t>Golden Ratio Mathematics</t>
        </is>
      </c>
      <c r="C9" s="26" t="inlineStr">
        <is>
          <t>N/A</t>
        </is>
      </c>
      <c r="D9" s="26" t="inlineStr">
        <is>
          <t>Evergreen</t>
        </is>
      </c>
      <c r="E9" s="26" t="inlineStr">
        <is>
          <t>Primary</t>
        </is>
      </c>
      <c r="F9" s="29" t="n">
        <v>1</v>
      </c>
      <c r="G9" s="30" t="inlineStr">
        <is>
          <t>phi=1.6180339; phi+1=2.618; 1/phi^2=0.3820</t>
        </is>
      </c>
    </row>
  </sheetData>
  <mergeCells count="1">
    <mergeCell ref="A1:G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6" customWidth="1" min="4" max="4"/>
    <col width="70" customWidth="1" min="5" max="5"/>
  </cols>
  <sheetData>
    <row r="1" ht="28" customHeight="1">
      <c r="A1" s="31" t="inlineStr">
        <is>
          <t>MFCS Change Log</t>
        </is>
      </c>
    </row>
    <row r="2"/>
    <row r="3">
      <c r="A3" s="3" t="inlineStr">
        <is>
          <t>Version</t>
        </is>
      </c>
      <c r="B3" s="4" t="inlineStr">
        <is>
          <t>Date</t>
        </is>
      </c>
      <c r="C3" s="4" t="inlineStr">
        <is>
          <t>Author</t>
        </is>
      </c>
      <c r="D3" s="4" t="inlineStr">
        <is>
          <t>Artifact</t>
        </is>
      </c>
      <c r="E3" s="5" t="inlineStr">
        <is>
          <t>Change Summary</t>
        </is>
      </c>
    </row>
    <row r="4">
      <c r="A4" s="6" t="inlineStr">
        <is>
          <t>v1.0.0</t>
        </is>
      </c>
      <c r="B4" s="61" t="n">
        <v>46129</v>
      </c>
      <c r="C4" s="7" t="inlineStr">
        <is>
          <t>Mohammad Saad Younus</t>
        </is>
      </c>
      <c r="D4" s="7" t="inlineStr">
        <is>
          <t>Aris Inheritance Packet</t>
        </is>
      </c>
      <c r="E4" s="11" t="inlineStr">
        <is>
          <t>Initial creation: 4 Stations of Breath; 3 mechanized invariants; SABR engine; 7-step inheritance checklist</t>
        </is>
      </c>
    </row>
    <row r="5">
      <c r="A5" s="12" t="inlineStr">
        <is>
          <t>v1.0.0</t>
        </is>
      </c>
      <c r="B5" s="62" t="n">
        <v>46129</v>
      </c>
      <c r="C5" s="13" t="inlineStr">
        <is>
          <t>Mohammad Saad Younus</t>
        </is>
      </c>
      <c r="D5" s="13" t="inlineStr">
        <is>
          <t>Meridian Watch Dashboard</t>
        </is>
      </c>
      <c r="E5" s="15" t="inlineStr">
        <is>
          <t>5-sheet dashboard: Mission Control; Comms Feed; Artifact Registry; MFCS Pipeline; Watch Actions Log</t>
        </is>
      </c>
    </row>
    <row r="6">
      <c r="A6" s="6" t="inlineStr">
        <is>
          <t>v2.0.0</t>
        </is>
      </c>
      <c r="B6" s="61" t="n">
        <v>46129</v>
      </c>
      <c r="C6" s="7" t="inlineStr">
        <is>
          <t>Mohammad Saad Younus</t>
        </is>
      </c>
      <c r="D6" s="7" t="inlineStr">
        <is>
          <t>96 Path Map</t>
        </is>
      </c>
      <c r="E6" s="11" t="inlineStr">
        <is>
          <t>Constructed from all project artifacts; 96 nodes catalogued across 6 categories and 9 domains; technical claims validated</t>
        </is>
      </c>
    </row>
    <row r="7">
      <c r="A7" s="25" t="inlineStr">
        <is>
          <t>v2.0.0</t>
        </is>
      </c>
      <c r="B7" s="63" t="n">
        <v>46129</v>
      </c>
      <c r="C7" s="26" t="inlineStr">
        <is>
          <t>Mohammad Saad Younus</t>
        </is>
      </c>
      <c r="D7" s="26" t="inlineStr">
        <is>
          <t>Metrics Dashboard</t>
        </is>
      </c>
      <c r="E7" s="30" t="inlineStr">
        <is>
          <t>Created: 96-node registry; artifact metrics; map-level metrics; domain coverage; bibliography; change log</t>
        </is>
      </c>
    </row>
    <row r="8"/>
    <row r="9"/>
    <row r="10">
      <c r="A10" s="64" t="inlineStr">
        <is>
          <t>MFCS v2.0.0 · Mohammad Saad Younus · 2026-04-17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2026-04-17T07:13:56Z</dcterms:created>
  <dcterms:modified xmlns:dcterms="http://purl.org/dc/terms/" xmlns:xsi="http://www.w3.org/2001/XMLSchema-instance" xsi:type="dcterms:W3CDTF">2026-04-17T07:15:56Z</dcterms:modified>
</cp:coreProperties>
</file>